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kas/Library/Mobile Documents/com~apple~CloudDocs/Projects/Triploid_Paper/triploid/"/>
    </mc:Choice>
  </mc:AlternateContent>
  <xr:revisionPtr revIDLastSave="0" documentId="13_ncr:1_{6ECB12A8-A8AA-E84D-B89F-7D003773397A}" xr6:coauthVersionLast="47" xr6:coauthVersionMax="47" xr10:uidLastSave="{00000000-0000-0000-0000-000000000000}"/>
  <bookViews>
    <workbookView xWindow="120" yWindow="760" windowWidth="21560" windowHeight="135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5" i="1" l="1"/>
  <c r="K235" i="1" s="1"/>
  <c r="L235" i="1"/>
  <c r="M235" i="1" s="1"/>
  <c r="J234" i="1"/>
  <c r="K234" i="1"/>
  <c r="L234" i="1"/>
  <c r="M234" i="1"/>
  <c r="J233" i="1"/>
  <c r="K233" i="1"/>
  <c r="L233" i="1"/>
  <c r="M233" i="1"/>
  <c r="J232" i="1"/>
  <c r="K232" i="1"/>
  <c r="L232" i="1"/>
  <c r="M232" i="1"/>
  <c r="J231" i="1"/>
  <c r="K231" i="1" s="1"/>
  <c r="L231" i="1"/>
  <c r="M231" i="1" s="1"/>
  <c r="J230" i="1"/>
  <c r="K230" i="1"/>
  <c r="L230" i="1"/>
  <c r="M230" i="1" s="1"/>
  <c r="J229" i="1"/>
  <c r="K229" i="1" s="1"/>
  <c r="L229" i="1"/>
  <c r="M229" i="1" s="1"/>
  <c r="J228" i="1"/>
  <c r="K228" i="1"/>
  <c r="L228" i="1"/>
  <c r="M228" i="1"/>
  <c r="J227" i="1"/>
  <c r="K227" i="1" s="1"/>
  <c r="L227" i="1"/>
  <c r="M227" i="1" s="1"/>
  <c r="J226" i="1"/>
  <c r="K226" i="1" s="1"/>
  <c r="L226" i="1"/>
  <c r="M226" i="1" s="1"/>
  <c r="J225" i="1"/>
  <c r="K225" i="1"/>
  <c r="L225" i="1"/>
  <c r="M225" i="1" s="1"/>
  <c r="J224" i="1"/>
  <c r="K224" i="1" s="1"/>
  <c r="L224" i="1"/>
  <c r="M224" i="1" s="1"/>
  <c r="J223" i="1"/>
  <c r="K223" i="1" s="1"/>
  <c r="L223" i="1"/>
  <c r="M223" i="1" s="1"/>
  <c r="J222" i="1"/>
  <c r="K222" i="1" s="1"/>
  <c r="L222" i="1"/>
  <c r="M222" i="1" s="1"/>
  <c r="J221" i="1"/>
  <c r="K221" i="1" s="1"/>
  <c r="L221" i="1"/>
  <c r="M221" i="1" s="1"/>
  <c r="J220" i="1"/>
  <c r="K220" i="1" s="1"/>
  <c r="L220" i="1"/>
  <c r="M220" i="1" s="1"/>
  <c r="J219" i="1"/>
  <c r="K219" i="1"/>
  <c r="L219" i="1"/>
  <c r="M219" i="1"/>
  <c r="M217" i="1"/>
  <c r="J218" i="1"/>
  <c r="K218" i="1" s="1"/>
  <c r="L218" i="1"/>
  <c r="M218" i="1" s="1"/>
  <c r="J217" i="1"/>
  <c r="K217" i="1" s="1"/>
  <c r="L217" i="1"/>
  <c r="J216" i="1"/>
  <c r="K216" i="1"/>
  <c r="L216" i="1"/>
  <c r="M216" i="1" s="1"/>
  <c r="J215" i="1"/>
  <c r="K215" i="1" s="1"/>
  <c r="L215" i="1"/>
  <c r="M215" i="1" s="1"/>
  <c r="J214" i="1"/>
  <c r="K214" i="1" s="1"/>
  <c r="L214" i="1"/>
  <c r="M214" i="1"/>
  <c r="J213" i="1"/>
  <c r="K213" i="1" s="1"/>
  <c r="L213" i="1"/>
  <c r="M213" i="1" s="1"/>
  <c r="J212" i="1"/>
  <c r="K212" i="1" s="1"/>
  <c r="L212" i="1"/>
  <c r="M212" i="1"/>
  <c r="J211" i="1"/>
  <c r="K211" i="1" s="1"/>
  <c r="L211" i="1"/>
  <c r="M211" i="1" s="1"/>
  <c r="J210" i="1"/>
  <c r="K210" i="1"/>
  <c r="L210" i="1"/>
  <c r="M210" i="1" s="1"/>
  <c r="J209" i="1"/>
  <c r="K209" i="1"/>
  <c r="L209" i="1"/>
  <c r="M209" i="1" s="1"/>
  <c r="J208" i="1"/>
  <c r="K208" i="1"/>
  <c r="L208" i="1"/>
  <c r="M208" i="1" s="1"/>
  <c r="J207" i="1"/>
  <c r="K207" i="1" s="1"/>
  <c r="L207" i="1"/>
  <c r="M207" i="1" s="1"/>
  <c r="J206" i="1"/>
  <c r="K206" i="1"/>
  <c r="L206" i="1"/>
  <c r="M206" i="1"/>
  <c r="J205" i="1"/>
  <c r="K205" i="1"/>
  <c r="L205" i="1"/>
  <c r="M205" i="1"/>
  <c r="J204" i="1"/>
  <c r="K204" i="1"/>
  <c r="L204" i="1"/>
  <c r="M204" i="1" s="1"/>
  <c r="J203" i="1"/>
  <c r="K203" i="1"/>
  <c r="L203" i="1"/>
  <c r="M203" i="1" s="1"/>
  <c r="J202" i="1"/>
  <c r="K202" i="1"/>
  <c r="L202" i="1"/>
  <c r="M202" i="1" s="1"/>
  <c r="J201" i="1"/>
  <c r="K201" i="1" s="1"/>
  <c r="L201" i="1"/>
  <c r="M201" i="1"/>
  <c r="J200" i="1"/>
  <c r="K200" i="1" s="1"/>
  <c r="L200" i="1"/>
  <c r="M200" i="1"/>
  <c r="J199" i="1"/>
  <c r="K199" i="1" s="1"/>
  <c r="L199" i="1"/>
  <c r="M199" i="1"/>
  <c r="J198" i="1"/>
  <c r="K198" i="1" s="1"/>
  <c r="L198" i="1"/>
  <c r="M198" i="1" s="1"/>
  <c r="J197" i="1"/>
  <c r="K197" i="1"/>
  <c r="L197" i="1"/>
  <c r="M197" i="1" s="1"/>
  <c r="J196" i="1"/>
  <c r="K196" i="1"/>
  <c r="L196" i="1"/>
  <c r="M196" i="1" s="1"/>
  <c r="J195" i="1"/>
  <c r="K195" i="1"/>
  <c r="L195" i="1"/>
  <c r="M195" i="1" s="1"/>
  <c r="J194" i="1"/>
  <c r="K194" i="1"/>
  <c r="L194" i="1"/>
  <c r="M194" i="1"/>
  <c r="J193" i="1"/>
  <c r="K193" i="1" s="1"/>
  <c r="L193" i="1"/>
  <c r="M193" i="1" s="1"/>
  <c r="M154" i="1"/>
  <c r="M162" i="1"/>
  <c r="M166" i="1"/>
  <c r="M170" i="1"/>
  <c r="M174" i="1"/>
  <c r="M177" i="1"/>
  <c r="M178" i="1"/>
  <c r="M181" i="1"/>
  <c r="M182" i="1"/>
  <c r="M185" i="1"/>
  <c r="J192" i="1"/>
  <c r="K192" i="1" s="1"/>
  <c r="L192" i="1"/>
  <c r="M192" i="1" s="1"/>
  <c r="J191" i="1"/>
  <c r="K191" i="1"/>
  <c r="L191" i="1"/>
  <c r="M191" i="1" s="1"/>
  <c r="J190" i="1"/>
  <c r="K190" i="1"/>
  <c r="L190" i="1"/>
  <c r="M190" i="1" s="1"/>
  <c r="J189" i="1"/>
  <c r="K189" i="1"/>
  <c r="L189" i="1"/>
  <c r="M189" i="1" s="1"/>
  <c r="J188" i="1"/>
  <c r="K188" i="1" s="1"/>
  <c r="L188" i="1"/>
  <c r="M188" i="1" s="1"/>
  <c r="J187" i="1"/>
  <c r="K187" i="1"/>
  <c r="L187" i="1"/>
  <c r="M187" i="1" s="1"/>
  <c r="J186" i="1"/>
  <c r="K186" i="1"/>
  <c r="L186" i="1"/>
  <c r="M186" i="1" s="1"/>
  <c r="J185" i="1"/>
  <c r="K185" i="1" s="1"/>
  <c r="L185" i="1"/>
  <c r="J184" i="1"/>
  <c r="K184" i="1"/>
  <c r="L184" i="1"/>
  <c r="M184" i="1" s="1"/>
  <c r="J183" i="1"/>
  <c r="K183" i="1"/>
  <c r="L183" i="1"/>
  <c r="M183" i="1" s="1"/>
  <c r="J182" i="1"/>
  <c r="K182" i="1"/>
  <c r="L182" i="1"/>
  <c r="J181" i="1"/>
  <c r="K181" i="1" s="1"/>
  <c r="L181" i="1"/>
  <c r="J180" i="1"/>
  <c r="K180" i="1"/>
  <c r="L180" i="1"/>
  <c r="M180" i="1" s="1"/>
  <c r="J179" i="1"/>
  <c r="K179" i="1"/>
  <c r="L179" i="1"/>
  <c r="M179" i="1" s="1"/>
  <c r="J178" i="1"/>
  <c r="K178" i="1"/>
  <c r="L178" i="1"/>
  <c r="J177" i="1"/>
  <c r="K177" i="1" s="1"/>
  <c r="L177" i="1"/>
  <c r="J176" i="1"/>
  <c r="K176" i="1"/>
  <c r="L176" i="1"/>
  <c r="M176" i="1" s="1"/>
  <c r="J175" i="1"/>
  <c r="K175" i="1"/>
  <c r="L175" i="1"/>
  <c r="M175" i="1" s="1"/>
  <c r="J174" i="1"/>
  <c r="K174" i="1"/>
  <c r="L174" i="1"/>
  <c r="J173" i="1"/>
  <c r="K173" i="1" s="1"/>
  <c r="L173" i="1"/>
  <c r="M173" i="1" s="1"/>
  <c r="J172" i="1"/>
  <c r="K172" i="1"/>
  <c r="L172" i="1"/>
  <c r="M172" i="1" s="1"/>
  <c r="J171" i="1"/>
  <c r="K171" i="1"/>
  <c r="L171" i="1"/>
  <c r="M171" i="1" s="1"/>
  <c r="J170" i="1"/>
  <c r="K170" i="1"/>
  <c r="L170" i="1"/>
  <c r="J169" i="1"/>
  <c r="K169" i="1" s="1"/>
  <c r="L169" i="1"/>
  <c r="M169" i="1" s="1"/>
  <c r="J168" i="1"/>
  <c r="K168" i="1"/>
  <c r="L168" i="1"/>
  <c r="M168" i="1" s="1"/>
  <c r="J167" i="1"/>
  <c r="K167" i="1"/>
  <c r="L167" i="1"/>
  <c r="M167" i="1" s="1"/>
  <c r="J166" i="1"/>
  <c r="K166" i="1"/>
  <c r="L166" i="1"/>
  <c r="J165" i="1"/>
  <c r="K165" i="1" s="1"/>
  <c r="L165" i="1"/>
  <c r="M165" i="1" s="1"/>
  <c r="J164" i="1"/>
  <c r="K164" i="1"/>
  <c r="L164" i="1"/>
  <c r="M164" i="1" s="1"/>
  <c r="J163" i="1"/>
  <c r="K163" i="1"/>
  <c r="L163" i="1"/>
  <c r="M163" i="1" s="1"/>
  <c r="J162" i="1"/>
  <c r="K162" i="1" s="1"/>
  <c r="L162" i="1"/>
  <c r="J161" i="1"/>
  <c r="K161" i="1"/>
  <c r="L161" i="1"/>
  <c r="M161" i="1" s="1"/>
  <c r="J158" i="1"/>
  <c r="K158" i="1"/>
  <c r="L158" i="1"/>
  <c r="M158" i="1" s="1"/>
  <c r="J159" i="1"/>
  <c r="K159" i="1" s="1"/>
  <c r="L159" i="1"/>
  <c r="M159" i="1" s="1"/>
  <c r="J160" i="1"/>
  <c r="K160" i="1"/>
  <c r="L160" i="1"/>
  <c r="M160" i="1" s="1"/>
  <c r="J157" i="1"/>
  <c r="K157" i="1"/>
  <c r="L157" i="1"/>
  <c r="M157" i="1" s="1"/>
  <c r="J156" i="1"/>
  <c r="K156" i="1"/>
  <c r="L156" i="1"/>
  <c r="M156" i="1" s="1"/>
  <c r="J155" i="1"/>
  <c r="K155" i="1" s="1"/>
  <c r="L155" i="1"/>
  <c r="M155" i="1" s="1"/>
  <c r="J154" i="1"/>
  <c r="K154" i="1"/>
  <c r="L154" i="1"/>
  <c r="J153" i="1"/>
  <c r="K153" i="1"/>
  <c r="L153" i="1"/>
  <c r="M153" i="1" s="1"/>
  <c r="J151" i="1"/>
  <c r="K151" i="1"/>
  <c r="J152" i="1"/>
  <c r="K152" i="1" s="1"/>
  <c r="L152" i="1"/>
  <c r="M152" i="1" s="1"/>
  <c r="L151" i="1"/>
  <c r="M151" i="1" s="1"/>
  <c r="J150" i="1"/>
  <c r="K150" i="1"/>
  <c r="L150" i="1"/>
  <c r="M150" i="1" s="1"/>
  <c r="J149" i="1"/>
  <c r="L149" i="1"/>
  <c r="M149" i="1" s="1"/>
  <c r="K149" i="1"/>
  <c r="J141" i="1"/>
  <c r="K141" i="1" s="1"/>
  <c r="L141" i="1"/>
  <c r="M141" i="1"/>
  <c r="J140" i="1"/>
  <c r="K140" i="1" s="1"/>
  <c r="L140" i="1"/>
  <c r="M140" i="1"/>
  <c r="J139" i="1"/>
  <c r="K139" i="1" s="1"/>
  <c r="L139" i="1"/>
  <c r="M139" i="1" s="1"/>
  <c r="L138" i="1"/>
  <c r="M138" i="1" s="1"/>
  <c r="J138" i="1"/>
  <c r="K138" i="1" s="1"/>
  <c r="J147" i="1"/>
  <c r="K147" i="1" s="1"/>
  <c r="L147" i="1"/>
  <c r="M147" i="1" s="1"/>
  <c r="J146" i="1"/>
  <c r="K146" i="1"/>
  <c r="L146" i="1"/>
  <c r="M146" i="1" s="1"/>
  <c r="J121" i="1"/>
  <c r="J120" i="1"/>
  <c r="K145" i="1"/>
  <c r="J136" i="1"/>
  <c r="J142" i="1"/>
  <c r="J143" i="1"/>
  <c r="J144" i="1"/>
  <c r="K144" i="1" s="1"/>
  <c r="J145" i="1"/>
  <c r="J135" i="1"/>
  <c r="M137" i="1"/>
  <c r="M142" i="1"/>
  <c r="L145" i="1"/>
  <c r="M145" i="1" s="1"/>
  <c r="L144" i="1"/>
  <c r="M144" i="1" s="1"/>
  <c r="K143" i="1"/>
  <c r="L143" i="1"/>
  <c r="M143" i="1" s="1"/>
  <c r="K142" i="1"/>
  <c r="L142" i="1"/>
  <c r="K136" i="1"/>
  <c r="L136" i="1"/>
  <c r="M136" i="1" s="1"/>
  <c r="K135" i="1"/>
  <c r="L135" i="1"/>
  <c r="M135" i="1"/>
  <c r="J134" i="1" l="1"/>
  <c r="K134" i="1" s="1"/>
  <c r="L134" i="1"/>
  <c r="M134" i="1" s="1"/>
  <c r="J133" i="1"/>
  <c r="K133" i="1" s="1"/>
  <c r="L133" i="1"/>
  <c r="M133" i="1" s="1"/>
  <c r="J132" i="1" l="1"/>
  <c r="K132" i="1" s="1"/>
  <c r="L132" i="1"/>
  <c r="M132" i="1" s="1"/>
  <c r="J131" i="1"/>
  <c r="K131" i="1" s="1"/>
  <c r="L131" i="1"/>
  <c r="M131" i="1"/>
  <c r="J130" i="1"/>
  <c r="K130" i="1" s="1"/>
  <c r="L130" i="1"/>
  <c r="M130" i="1" s="1"/>
  <c r="J129" i="1"/>
  <c r="K129" i="1" s="1"/>
  <c r="L129" i="1"/>
  <c r="M129" i="1" s="1"/>
  <c r="J128" i="1"/>
  <c r="K128" i="1" s="1"/>
  <c r="L128" i="1"/>
  <c r="M128" i="1"/>
  <c r="J127" i="1"/>
  <c r="K127" i="1" s="1"/>
  <c r="L127" i="1"/>
  <c r="M127" i="1" s="1"/>
  <c r="J126" i="1"/>
  <c r="K126" i="1" s="1"/>
  <c r="L126" i="1"/>
  <c r="M126" i="1" s="1"/>
  <c r="J125" i="1"/>
  <c r="K125" i="1"/>
  <c r="L125" i="1"/>
  <c r="M125" i="1" s="1"/>
  <c r="J124" i="1"/>
  <c r="K124" i="1" s="1"/>
  <c r="L124" i="1"/>
  <c r="M124" i="1" s="1"/>
  <c r="J123" i="1"/>
  <c r="K123" i="1" s="1"/>
  <c r="L123" i="1"/>
  <c r="M123" i="1" s="1"/>
  <c r="J122" i="1"/>
  <c r="K122" i="1" s="1"/>
  <c r="L122" i="1"/>
  <c r="M122" i="1" s="1"/>
  <c r="K121" i="1"/>
  <c r="L121" i="1"/>
  <c r="M121" i="1" s="1"/>
  <c r="K120" i="1"/>
  <c r="L120" i="1"/>
  <c r="M120" i="1"/>
  <c r="J119" i="1"/>
  <c r="K119" i="1" s="1"/>
  <c r="L119" i="1"/>
  <c r="M119" i="1"/>
  <c r="J91" i="1"/>
  <c r="K91" i="1" s="1"/>
  <c r="J118" i="1"/>
  <c r="K118" i="1" s="1"/>
  <c r="L118" i="1"/>
  <c r="M118" i="1" s="1"/>
  <c r="J117" i="1"/>
  <c r="K117" i="1" s="1"/>
  <c r="L117" i="1"/>
  <c r="M117" i="1" s="1"/>
  <c r="J116" i="1"/>
  <c r="K116" i="1" s="1"/>
  <c r="L116" i="1"/>
  <c r="M116" i="1" s="1"/>
  <c r="J115" i="1"/>
  <c r="K115" i="1" s="1"/>
  <c r="L115" i="1"/>
  <c r="M115" i="1" s="1"/>
  <c r="J114" i="1"/>
  <c r="K114" i="1" s="1"/>
  <c r="L114" i="1"/>
  <c r="M114" i="1" s="1"/>
  <c r="J113" i="1"/>
  <c r="K113" i="1" s="1"/>
  <c r="L113" i="1"/>
  <c r="M113" i="1" s="1"/>
  <c r="J112" i="1"/>
  <c r="K112" i="1" s="1"/>
  <c r="L112" i="1"/>
  <c r="M112" i="1" s="1"/>
  <c r="J111" i="1"/>
  <c r="K111" i="1" s="1"/>
  <c r="L111" i="1"/>
  <c r="M111" i="1"/>
  <c r="J110" i="1"/>
  <c r="K110" i="1" s="1"/>
  <c r="L110" i="1"/>
  <c r="M110" i="1" s="1"/>
  <c r="J109" i="1"/>
  <c r="K109" i="1" s="1"/>
  <c r="L109" i="1"/>
  <c r="M109" i="1" s="1"/>
  <c r="J108" i="1"/>
  <c r="K108" i="1" s="1"/>
  <c r="L108" i="1"/>
  <c r="M108" i="1" s="1"/>
  <c r="J107" i="1"/>
  <c r="K107" i="1" s="1"/>
  <c r="L107" i="1"/>
  <c r="M107" i="1" s="1"/>
  <c r="J106" i="1"/>
  <c r="K106" i="1" s="1"/>
  <c r="L106" i="1"/>
  <c r="M106" i="1" s="1"/>
  <c r="J105" i="1"/>
  <c r="K105" i="1" s="1"/>
  <c r="L105" i="1"/>
  <c r="M105" i="1"/>
  <c r="J104" i="1"/>
  <c r="K104" i="1" s="1"/>
  <c r="L104" i="1"/>
  <c r="M104" i="1" s="1"/>
  <c r="J103" i="1"/>
  <c r="K103" i="1" s="1"/>
  <c r="L103" i="1"/>
  <c r="M103" i="1" s="1"/>
  <c r="J102" i="1"/>
  <c r="K102" i="1" s="1"/>
  <c r="L102" i="1"/>
  <c r="M102" i="1" s="1"/>
  <c r="J101" i="1"/>
  <c r="K101" i="1" s="1"/>
  <c r="L101" i="1"/>
  <c r="M101" i="1" s="1"/>
  <c r="J100" i="1"/>
  <c r="K100" i="1" s="1"/>
  <c r="L100" i="1"/>
  <c r="M100" i="1" s="1"/>
  <c r="J99" i="1"/>
  <c r="K99" i="1" s="1"/>
  <c r="L99" i="1"/>
  <c r="M99" i="1" s="1"/>
  <c r="J98" i="1"/>
  <c r="K98" i="1" s="1"/>
  <c r="L98" i="1"/>
  <c r="M98" i="1" s="1"/>
  <c r="J97" i="1"/>
  <c r="K97" i="1" s="1"/>
  <c r="L97" i="1"/>
  <c r="M97" i="1"/>
  <c r="J96" i="1"/>
  <c r="K96" i="1" s="1"/>
  <c r="L96" i="1"/>
  <c r="M96" i="1" s="1"/>
  <c r="J95" i="1"/>
  <c r="K95" i="1" s="1"/>
  <c r="L95" i="1"/>
  <c r="M95" i="1"/>
  <c r="J94" i="1" l="1"/>
  <c r="K94" i="1" s="1"/>
  <c r="L94" i="1"/>
  <c r="M94" i="1"/>
  <c r="J93" i="1"/>
  <c r="K93" i="1" s="1"/>
  <c r="L93" i="1"/>
  <c r="M93" i="1"/>
  <c r="J92" i="1"/>
  <c r="K92" i="1" s="1"/>
  <c r="L92" i="1"/>
  <c r="M92" i="1" s="1"/>
  <c r="L91" i="1"/>
  <c r="M91" i="1" s="1"/>
  <c r="J90" i="1"/>
  <c r="K90" i="1"/>
  <c r="L90" i="1"/>
  <c r="M90" i="1"/>
  <c r="J89" i="1"/>
  <c r="K89" i="1"/>
  <c r="L89" i="1"/>
  <c r="M89" i="1"/>
  <c r="J88" i="1"/>
  <c r="K88" i="1"/>
  <c r="L88" i="1"/>
  <c r="M88" i="1"/>
  <c r="J87" i="1"/>
  <c r="K87" i="1"/>
  <c r="L87" i="1"/>
  <c r="M87" i="1" s="1"/>
  <c r="J86" i="1"/>
  <c r="K86" i="1" s="1"/>
  <c r="L86" i="1"/>
  <c r="M86" i="1"/>
  <c r="J85" i="1"/>
  <c r="K85" i="1" s="1"/>
  <c r="L85" i="1"/>
  <c r="M85" i="1" s="1"/>
  <c r="J84" i="1"/>
  <c r="K84" i="1"/>
  <c r="L84" i="1"/>
  <c r="M84" i="1"/>
  <c r="J83" i="1"/>
  <c r="K83" i="1"/>
  <c r="L83" i="1"/>
  <c r="M83" i="1" s="1"/>
  <c r="J82" i="1"/>
  <c r="K82" i="1" s="1"/>
  <c r="L82" i="1"/>
  <c r="M82" i="1"/>
  <c r="J81" i="1"/>
  <c r="K81" i="1" s="1"/>
  <c r="L81" i="1"/>
  <c r="M81" i="1"/>
  <c r="J80" i="1"/>
  <c r="K80" i="1" s="1"/>
  <c r="L80" i="1"/>
  <c r="M80" i="1"/>
  <c r="J79" i="1"/>
  <c r="K79" i="1" s="1"/>
  <c r="L79" i="1"/>
  <c r="M79" i="1" s="1"/>
  <c r="J78" i="1"/>
  <c r="K78" i="1"/>
  <c r="L78" i="1"/>
  <c r="M78" i="1"/>
  <c r="J77" i="1"/>
  <c r="K77" i="1"/>
  <c r="L77" i="1"/>
  <c r="M77" i="1"/>
  <c r="J76" i="1"/>
  <c r="K76" i="1"/>
  <c r="L76" i="1"/>
  <c r="M76" i="1"/>
  <c r="J75" i="1"/>
  <c r="K75" i="1"/>
  <c r="L75" i="1"/>
  <c r="M75" i="1" s="1"/>
  <c r="J74" i="1"/>
  <c r="K74" i="1" s="1"/>
  <c r="L74" i="1"/>
  <c r="M74" i="1" s="1"/>
  <c r="J73" i="1"/>
  <c r="K73" i="1"/>
  <c r="L73" i="1"/>
  <c r="M73" i="1" s="1"/>
  <c r="J72" i="1"/>
  <c r="K72" i="1"/>
  <c r="L72" i="1"/>
  <c r="M72" i="1" s="1"/>
  <c r="J71" i="1"/>
  <c r="K71" i="1"/>
  <c r="L71" i="1"/>
  <c r="M71" i="1" s="1"/>
  <c r="J70" i="1"/>
  <c r="K70" i="1" s="1"/>
  <c r="L70" i="1"/>
  <c r="M70" i="1"/>
  <c r="J69" i="1"/>
  <c r="K69" i="1" s="1"/>
  <c r="L69" i="1"/>
  <c r="M69" i="1"/>
  <c r="J68" i="1"/>
  <c r="K68" i="1" s="1"/>
  <c r="L68" i="1"/>
  <c r="M68" i="1" s="1"/>
  <c r="J67" i="1"/>
  <c r="K67" i="1"/>
  <c r="L67" i="1"/>
  <c r="M67" i="1"/>
  <c r="J66" i="1"/>
  <c r="K66" i="1"/>
  <c r="L66" i="1"/>
  <c r="M66" i="1"/>
  <c r="J65" i="1"/>
  <c r="K65" i="1"/>
  <c r="L65" i="1"/>
  <c r="M65" i="1" s="1"/>
  <c r="J64" i="1"/>
  <c r="K64" i="1" s="1"/>
  <c r="L64" i="1"/>
  <c r="M64" i="1" s="1"/>
  <c r="J63" i="1"/>
  <c r="K63" i="1" s="1"/>
  <c r="L63" i="1"/>
  <c r="M63" i="1" s="1"/>
  <c r="J62" i="1"/>
  <c r="K62" i="1" s="1"/>
  <c r="L62" i="1"/>
  <c r="M62" i="1"/>
  <c r="J61" i="1"/>
  <c r="K61" i="1" s="1"/>
  <c r="L61" i="1"/>
  <c r="M61" i="1"/>
  <c r="J60" i="1"/>
  <c r="K60" i="1" s="1"/>
  <c r="L60" i="1"/>
  <c r="M60" i="1" s="1"/>
  <c r="J59" i="1"/>
  <c r="K59" i="1" s="1"/>
  <c r="L59" i="1"/>
  <c r="M59" i="1" s="1"/>
  <c r="J58" i="1"/>
  <c r="K58" i="1" s="1"/>
  <c r="L58" i="1"/>
  <c r="M58" i="1" s="1"/>
  <c r="J55" i="1"/>
  <c r="K55" i="1" s="1"/>
  <c r="L55" i="1"/>
  <c r="M55" i="1" s="1"/>
  <c r="J54" i="1"/>
  <c r="K54" i="1"/>
  <c r="L54" i="1"/>
  <c r="M54" i="1" s="1"/>
  <c r="J53" i="1"/>
  <c r="K53" i="1"/>
  <c r="L53" i="1"/>
  <c r="M53" i="1" s="1"/>
  <c r="J51" i="1"/>
  <c r="K51" i="1"/>
  <c r="J52" i="1"/>
  <c r="K52" i="1" s="1"/>
  <c r="L52" i="1"/>
  <c r="M52" i="1"/>
  <c r="J57" i="1"/>
  <c r="K57" i="1" s="1"/>
  <c r="L57" i="1"/>
  <c r="M57" i="1"/>
  <c r="J56" i="1"/>
  <c r="K56" i="1" s="1"/>
  <c r="L56" i="1"/>
  <c r="M56" i="1" s="1"/>
  <c r="J50" i="1" l="1"/>
  <c r="K50" i="1" s="1"/>
  <c r="L50" i="1"/>
  <c r="M50" i="1" s="1"/>
  <c r="L51" i="1"/>
  <c r="M51" i="1" s="1"/>
  <c r="J48" i="1"/>
  <c r="K48" i="1" s="1"/>
  <c r="J49" i="1"/>
  <c r="K49" i="1"/>
  <c r="L49" i="1"/>
  <c r="M49" i="1" s="1"/>
  <c r="L48" i="1"/>
  <c r="M48" i="1" s="1"/>
  <c r="L47" i="1" l="1"/>
  <c r="M47" i="1" s="1"/>
  <c r="J47" i="1"/>
  <c r="K47" i="1" s="1"/>
  <c r="M46" i="1"/>
  <c r="L46" i="1"/>
  <c r="J46" i="1"/>
  <c r="K46" i="1" s="1"/>
  <c r="L45" i="1"/>
  <c r="M45" i="1" s="1"/>
  <c r="J45" i="1"/>
  <c r="K45" i="1" s="1"/>
  <c r="L44" i="1"/>
  <c r="M44" i="1" s="1"/>
  <c r="J44" i="1"/>
  <c r="K44" i="1" s="1"/>
  <c r="L43" i="1"/>
  <c r="M43" i="1" s="1"/>
  <c r="J43" i="1"/>
  <c r="K43" i="1" s="1"/>
  <c r="M42" i="1"/>
  <c r="L42" i="1"/>
  <c r="J42" i="1"/>
  <c r="K42" i="1" s="1"/>
  <c r="L41" i="1"/>
  <c r="M41" i="1" s="1"/>
  <c r="J41" i="1"/>
  <c r="K41" i="1" s="1"/>
  <c r="L40" i="1"/>
  <c r="M40" i="1" s="1"/>
  <c r="J40" i="1"/>
  <c r="K40" i="1" s="1"/>
  <c r="L39" i="1"/>
  <c r="M39" i="1" s="1"/>
  <c r="J39" i="1"/>
  <c r="K39" i="1" s="1"/>
  <c r="L38" i="1"/>
  <c r="M38" i="1" s="1"/>
  <c r="J38" i="1"/>
  <c r="K38" i="1" s="1"/>
  <c r="L37" i="1"/>
  <c r="M37" i="1" s="1"/>
  <c r="J37" i="1"/>
  <c r="K37" i="1" s="1"/>
  <c r="L36" i="1"/>
  <c r="M36" i="1" s="1"/>
  <c r="J36" i="1"/>
  <c r="K36" i="1" s="1"/>
  <c r="L35" i="1"/>
  <c r="M35" i="1" s="1"/>
  <c r="J35" i="1"/>
  <c r="K35" i="1" s="1"/>
  <c r="L34" i="1"/>
  <c r="M34" i="1" s="1"/>
  <c r="J34" i="1"/>
  <c r="K34" i="1" s="1"/>
  <c r="L33" i="1"/>
  <c r="M33" i="1" s="1"/>
  <c r="J33" i="1"/>
  <c r="K33" i="1" s="1"/>
  <c r="L32" i="1"/>
  <c r="M32" i="1" s="1"/>
  <c r="J32" i="1"/>
  <c r="K32" i="1" s="1"/>
  <c r="L31" i="1"/>
  <c r="M31" i="1" s="1"/>
  <c r="J31" i="1"/>
  <c r="K31" i="1" s="1"/>
  <c r="L30" i="1"/>
  <c r="M30" i="1" s="1"/>
  <c r="J30" i="1"/>
  <c r="K30" i="1" s="1"/>
  <c r="L29" i="1"/>
  <c r="M29" i="1" s="1"/>
  <c r="J29" i="1"/>
  <c r="K29" i="1" s="1"/>
  <c r="L28" i="1"/>
  <c r="M28" i="1" s="1"/>
  <c r="J28" i="1"/>
  <c r="K28" i="1" s="1"/>
  <c r="L27" i="1"/>
  <c r="M27" i="1" s="1"/>
  <c r="J27" i="1"/>
  <c r="K27" i="1" s="1"/>
  <c r="M26" i="1"/>
  <c r="L26" i="1"/>
  <c r="J26" i="1"/>
  <c r="K26" i="1" s="1"/>
  <c r="L25" i="1"/>
  <c r="M25" i="1" s="1"/>
  <c r="J25" i="1"/>
  <c r="K25" i="1" s="1"/>
  <c r="L24" i="1"/>
  <c r="M24" i="1" s="1"/>
  <c r="J24" i="1"/>
  <c r="K24" i="1" s="1"/>
  <c r="L23" i="1"/>
  <c r="M23" i="1" s="1"/>
  <c r="J23" i="1"/>
  <c r="K23" i="1" s="1"/>
  <c r="L22" i="1"/>
  <c r="M22" i="1" s="1"/>
  <c r="J22" i="1"/>
  <c r="K22" i="1" s="1"/>
  <c r="L21" i="1"/>
  <c r="M21" i="1" s="1"/>
  <c r="J21" i="1"/>
  <c r="K21" i="1" s="1"/>
  <c r="L20" i="1"/>
  <c r="M20" i="1" s="1"/>
  <c r="J20" i="1"/>
  <c r="K20" i="1" s="1"/>
  <c r="L19" i="1"/>
  <c r="M19" i="1" s="1"/>
  <c r="J19" i="1"/>
  <c r="K19" i="1" s="1"/>
  <c r="L18" i="1"/>
  <c r="M18" i="1" s="1"/>
  <c r="J18" i="1"/>
  <c r="K18" i="1" s="1"/>
  <c r="L17" i="1"/>
  <c r="M17" i="1" s="1"/>
  <c r="J17" i="1"/>
  <c r="K17" i="1" s="1"/>
  <c r="L16" i="1"/>
  <c r="M16" i="1" s="1"/>
  <c r="J16" i="1"/>
  <c r="K16" i="1" s="1"/>
  <c r="L15" i="1"/>
  <c r="M15" i="1" s="1"/>
  <c r="J15" i="1"/>
  <c r="K15" i="1" s="1"/>
  <c r="L14" i="1"/>
  <c r="M14" i="1" s="1"/>
  <c r="J14" i="1"/>
  <c r="K14" i="1" s="1"/>
  <c r="L13" i="1"/>
  <c r="M13" i="1" s="1"/>
  <c r="J13" i="1"/>
  <c r="K13" i="1" s="1"/>
  <c r="L12" i="1"/>
  <c r="M12" i="1" s="1"/>
  <c r="J12" i="1"/>
  <c r="K12" i="1" s="1"/>
  <c r="L11" i="1"/>
  <c r="M11" i="1" s="1"/>
  <c r="J11" i="1"/>
  <c r="K11" i="1" s="1"/>
  <c r="M10" i="1"/>
  <c r="L10" i="1"/>
  <c r="J10" i="1"/>
  <c r="K10" i="1" s="1"/>
  <c r="L9" i="1"/>
  <c r="M9" i="1" s="1"/>
  <c r="J9" i="1"/>
  <c r="K9" i="1" s="1"/>
  <c r="L8" i="1"/>
  <c r="M8" i="1" s="1"/>
  <c r="J8" i="1"/>
  <c r="K8" i="1" s="1"/>
  <c r="L7" i="1"/>
  <c r="M7" i="1" s="1"/>
  <c r="J7" i="1"/>
  <c r="K7" i="1" s="1"/>
  <c r="L6" i="1"/>
  <c r="M6" i="1" s="1"/>
  <c r="J6" i="1"/>
  <c r="K6" i="1" s="1"/>
  <c r="L5" i="1"/>
  <c r="M5" i="1" s="1"/>
  <c r="J5" i="1"/>
  <c r="K5" i="1" s="1"/>
  <c r="L4" i="1"/>
  <c r="M4" i="1" s="1"/>
  <c r="J4" i="1"/>
  <c r="K4" i="1" s="1"/>
  <c r="L3" i="1"/>
  <c r="M3" i="1" s="1"/>
  <c r="J3" i="1"/>
  <c r="K3" i="1" s="1"/>
  <c r="L2" i="1"/>
  <c r="M2" i="1" s="1"/>
  <c r="J2" i="1"/>
  <c r="K2" i="1" s="1"/>
</calcChain>
</file>

<file path=xl/sharedStrings.xml><?xml version="1.0" encoding="utf-8"?>
<sst xmlns="http://schemas.openxmlformats.org/spreadsheetml/2006/main" count="1145" uniqueCount="48">
  <si>
    <t>O101_02</t>
  </si>
  <si>
    <t>Acne</t>
  </si>
  <si>
    <t>O101_03</t>
  </si>
  <si>
    <t>O101_05</t>
  </si>
  <si>
    <t>O101_06</t>
  </si>
  <si>
    <t>O101_07</t>
  </si>
  <si>
    <t>O101_08</t>
  </si>
  <si>
    <t>O101_09</t>
  </si>
  <si>
    <t>O101_10</t>
  </si>
  <si>
    <t>O101_11</t>
  </si>
  <si>
    <t>O101_12</t>
  </si>
  <si>
    <t>Sample</t>
  </si>
  <si>
    <t>run</t>
  </si>
  <si>
    <t>Std</t>
  </si>
  <si>
    <t>nr_ind</t>
  </si>
  <si>
    <t>std_mean</t>
  </si>
  <si>
    <t>std_cv</t>
  </si>
  <si>
    <t>sample_mean</t>
  </si>
  <si>
    <t>sample_cv</t>
  </si>
  <si>
    <t>gain</t>
  </si>
  <si>
    <t>C_value_ARTR_pg</t>
  </si>
  <si>
    <t>C2_Value_ARTR</t>
  </si>
  <si>
    <t>Rel_fluourescence</t>
  </si>
  <si>
    <t>ploidy</t>
  </si>
  <si>
    <t>Date</t>
  </si>
  <si>
    <t>Notes</t>
  </si>
  <si>
    <t>man</t>
  </si>
  <si>
    <t>Stain</t>
  </si>
  <si>
    <t>DAPI</t>
  </si>
  <si>
    <t>O101_13</t>
  </si>
  <si>
    <t>Acru_ss</t>
  </si>
  <si>
    <t>03/16/2022</t>
  </si>
  <si>
    <t>gg</t>
  </si>
  <si>
    <t>PI</t>
  </si>
  <si>
    <t>03/18/2022</t>
  </si>
  <si>
    <t>02/13/2023</t>
  </si>
  <si>
    <t>03/18/2023</t>
  </si>
  <si>
    <t>03/19/2023</t>
  </si>
  <si>
    <t>PI+gly</t>
  </si>
  <si>
    <t>Acru_AS</t>
  </si>
  <si>
    <t>03/20/2023</t>
  </si>
  <si>
    <t>Acru_SS</t>
  </si>
  <si>
    <t>IDT_2x</t>
  </si>
  <si>
    <t>IDT_3x</t>
  </si>
  <si>
    <t>WAT_2x</t>
  </si>
  <si>
    <t>WAT_4x</t>
  </si>
  <si>
    <t>O203_01</t>
  </si>
  <si>
    <t>sample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</si>
</sst>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6"/>
  <sheetViews>
    <sheetView tabSelected="1" topLeftCell="A224" zoomScale="70" zoomScaleNormal="70" workbookViewId="0">
      <selection activeCell="P235" sqref="P235"/>
    </sheetView>
  </sheetViews>
  <sheetFormatPr baseColWidth="10" defaultColWidth="8.83203125" defaultRowHeight="15" x14ac:dyDescent="0.2"/>
  <cols>
    <col min="1" max="1" width="10" bestFit="1" customWidth="1"/>
    <col min="2" max="2" width="4.1640625" bestFit="1" customWidth="1"/>
    <col min="3" max="3" width="7.83203125" bestFit="1" customWidth="1"/>
    <col min="4" max="4" width="6.83203125" bestFit="1" customWidth="1"/>
    <col min="5" max="5" width="9.6640625" bestFit="1" customWidth="1"/>
    <col min="6" max="6" width="7.6640625" bestFit="1" customWidth="1"/>
    <col min="7" max="7" width="13.5" bestFit="1" customWidth="1"/>
    <col min="8" max="8" width="10.33203125" bestFit="1" customWidth="1"/>
    <col min="9" max="9" width="4.83203125" bestFit="1" customWidth="1"/>
    <col min="10" max="10" width="16.83203125" bestFit="1" customWidth="1"/>
    <col min="11" max="11" width="15" bestFit="1" customWidth="1"/>
    <col min="12" max="12" width="17.6640625" bestFit="1" customWidth="1"/>
    <col min="13" max="13" width="6.6640625" bestFit="1" customWidth="1"/>
    <col min="14" max="14" width="11.5" bestFit="1" customWidth="1"/>
    <col min="15" max="15" width="6.33203125" bestFit="1" customWidth="1"/>
    <col min="16" max="16" width="5.5" bestFit="1" customWidth="1"/>
  </cols>
  <sheetData>
    <row r="1" spans="1:16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27</v>
      </c>
    </row>
    <row r="2" spans="1:16" x14ac:dyDescent="0.2">
      <c r="A2" t="s">
        <v>0</v>
      </c>
      <c r="B2">
        <v>1</v>
      </c>
      <c r="C2" t="s">
        <v>1</v>
      </c>
      <c r="D2">
        <v>1</v>
      </c>
      <c r="E2">
        <v>30.89</v>
      </c>
      <c r="F2">
        <v>22.36</v>
      </c>
      <c r="G2">
        <v>374.02</v>
      </c>
      <c r="H2">
        <v>9.02</v>
      </c>
      <c r="I2">
        <v>475</v>
      </c>
      <c r="J2">
        <f t="shared" ref="J2:J31" si="0">G2/E2*0.54</f>
        <v>6.5383878277759795</v>
      </c>
      <c r="K2">
        <f>J2*2</f>
        <v>13.076775655551959</v>
      </c>
      <c r="L2">
        <f t="shared" ref="L2:L47" si="1">G2/E2</f>
        <v>12.108125606992553</v>
      </c>
      <c r="M2">
        <f t="shared" ref="M2:M128" si="2">IF(L2&lt;10,2,4)</f>
        <v>4</v>
      </c>
      <c r="N2" s="1" t="s">
        <v>35</v>
      </c>
      <c r="P2" t="s">
        <v>28</v>
      </c>
    </row>
    <row r="3" spans="1:16" x14ac:dyDescent="0.2">
      <c r="A3" t="s">
        <v>0</v>
      </c>
      <c r="B3">
        <v>1</v>
      </c>
      <c r="C3" t="s">
        <v>1</v>
      </c>
      <c r="D3">
        <v>1</v>
      </c>
      <c r="E3">
        <v>29.57</v>
      </c>
      <c r="F3">
        <v>17.07</v>
      </c>
      <c r="G3">
        <v>377.7</v>
      </c>
      <c r="H3">
        <v>8.4700000000000006</v>
      </c>
      <c r="I3">
        <v>475</v>
      </c>
      <c r="J3">
        <f t="shared" si="0"/>
        <v>6.8974636455867433</v>
      </c>
      <c r="K3">
        <f t="shared" ref="K3:K49" si="3">J3*2</f>
        <v>13.794927291173487</v>
      </c>
      <c r="L3">
        <f t="shared" si="1"/>
        <v>12.773080825160635</v>
      </c>
      <c r="M3">
        <f t="shared" si="2"/>
        <v>4</v>
      </c>
      <c r="N3" s="1" t="s">
        <v>35</v>
      </c>
      <c r="O3" t="s">
        <v>26</v>
      </c>
      <c r="P3" t="s">
        <v>28</v>
      </c>
    </row>
    <row r="4" spans="1:16" x14ac:dyDescent="0.2">
      <c r="A4" t="s">
        <v>0</v>
      </c>
      <c r="B4">
        <v>2</v>
      </c>
      <c r="C4" t="s">
        <v>1</v>
      </c>
      <c r="D4">
        <v>1</v>
      </c>
      <c r="E4">
        <v>30.16</v>
      </c>
      <c r="F4">
        <v>23.71</v>
      </c>
      <c r="G4">
        <v>376.28</v>
      </c>
      <c r="H4">
        <v>8.52</v>
      </c>
      <c r="I4">
        <v>475</v>
      </c>
      <c r="J4">
        <f t="shared" si="0"/>
        <v>6.73710875331565</v>
      </c>
      <c r="K4">
        <f t="shared" si="3"/>
        <v>13.4742175066313</v>
      </c>
      <c r="L4">
        <f t="shared" si="1"/>
        <v>12.476127320954907</v>
      </c>
      <c r="M4">
        <f t="shared" si="2"/>
        <v>4</v>
      </c>
      <c r="N4" s="1" t="s">
        <v>35</v>
      </c>
      <c r="P4" t="s">
        <v>28</v>
      </c>
    </row>
    <row r="5" spans="1:16" x14ac:dyDescent="0.2">
      <c r="A5" t="s">
        <v>0</v>
      </c>
      <c r="B5">
        <v>2</v>
      </c>
      <c r="C5" t="s">
        <v>1</v>
      </c>
      <c r="D5">
        <v>1</v>
      </c>
      <c r="E5">
        <v>30.6</v>
      </c>
      <c r="F5">
        <v>11.54</v>
      </c>
      <c r="G5">
        <v>376.74</v>
      </c>
      <c r="H5">
        <v>6.35</v>
      </c>
      <c r="I5">
        <v>475</v>
      </c>
      <c r="J5">
        <f t="shared" si="0"/>
        <v>6.6483529411764701</v>
      </c>
      <c r="K5">
        <f t="shared" si="3"/>
        <v>13.29670588235294</v>
      </c>
      <c r="L5">
        <f t="shared" si="1"/>
        <v>12.311764705882352</v>
      </c>
      <c r="M5">
        <f t="shared" si="2"/>
        <v>4</v>
      </c>
      <c r="N5" s="1" t="s">
        <v>35</v>
      </c>
      <c r="O5" t="s">
        <v>26</v>
      </c>
      <c r="P5" t="s">
        <v>28</v>
      </c>
    </row>
    <row r="6" spans="1:16" x14ac:dyDescent="0.2">
      <c r="A6" t="s">
        <v>2</v>
      </c>
      <c r="B6">
        <v>1</v>
      </c>
      <c r="C6" t="s">
        <v>1</v>
      </c>
      <c r="D6">
        <v>1</v>
      </c>
      <c r="E6">
        <v>37.47</v>
      </c>
      <c r="F6">
        <v>21.09</v>
      </c>
      <c r="G6">
        <v>277.18</v>
      </c>
      <c r="H6">
        <v>7.98</v>
      </c>
      <c r="I6">
        <v>480</v>
      </c>
      <c r="J6">
        <f t="shared" si="0"/>
        <v>3.9945876701361094</v>
      </c>
      <c r="K6">
        <f t="shared" si="3"/>
        <v>7.9891753402722188</v>
      </c>
      <c r="L6">
        <f t="shared" si="1"/>
        <v>7.3973845743261277</v>
      </c>
      <c r="M6">
        <f t="shared" si="2"/>
        <v>2</v>
      </c>
      <c r="N6" s="1" t="s">
        <v>35</v>
      </c>
      <c r="P6" t="s">
        <v>28</v>
      </c>
    </row>
    <row r="7" spans="1:16" x14ac:dyDescent="0.2">
      <c r="A7" t="s">
        <v>2</v>
      </c>
      <c r="B7">
        <v>1</v>
      </c>
      <c r="C7" t="s">
        <v>1</v>
      </c>
      <c r="D7">
        <v>1</v>
      </c>
      <c r="E7">
        <v>39.020000000000003</v>
      </c>
      <c r="F7">
        <v>9.9499999999999993</v>
      </c>
      <c r="G7">
        <v>277.18</v>
      </c>
      <c r="H7">
        <v>6.21</v>
      </c>
      <c r="I7">
        <v>480</v>
      </c>
      <c r="J7">
        <f t="shared" si="0"/>
        <v>3.8359097898513581</v>
      </c>
      <c r="K7">
        <f t="shared" si="3"/>
        <v>7.6718195797027162</v>
      </c>
      <c r="L7">
        <f t="shared" si="1"/>
        <v>7.1035366478728852</v>
      </c>
      <c r="M7">
        <f t="shared" si="2"/>
        <v>2</v>
      </c>
      <c r="N7" s="1" t="s">
        <v>35</v>
      </c>
      <c r="P7" t="s">
        <v>28</v>
      </c>
    </row>
    <row r="8" spans="1:16" x14ac:dyDescent="0.2">
      <c r="A8" t="s">
        <v>2</v>
      </c>
      <c r="B8">
        <v>2</v>
      </c>
      <c r="C8" t="s">
        <v>1</v>
      </c>
      <c r="D8">
        <v>1</v>
      </c>
      <c r="E8">
        <v>38.659999999999997</v>
      </c>
      <c r="F8">
        <v>9.2799999999999994</v>
      </c>
      <c r="G8">
        <v>270.55</v>
      </c>
      <c r="H8">
        <v>5.5</v>
      </c>
      <c r="I8">
        <v>480</v>
      </c>
      <c r="J8">
        <f t="shared" si="0"/>
        <v>3.7790222452146929</v>
      </c>
      <c r="K8">
        <f t="shared" si="3"/>
        <v>7.5580444904293858</v>
      </c>
      <c r="L8">
        <f t="shared" si="1"/>
        <v>6.9981893429901714</v>
      </c>
      <c r="M8">
        <f t="shared" si="2"/>
        <v>2</v>
      </c>
      <c r="N8" s="1" t="s">
        <v>35</v>
      </c>
      <c r="P8" t="s">
        <v>28</v>
      </c>
    </row>
    <row r="9" spans="1:16" x14ac:dyDescent="0.2">
      <c r="A9" t="s">
        <v>2</v>
      </c>
      <c r="B9">
        <v>2</v>
      </c>
      <c r="C9" t="s">
        <v>1</v>
      </c>
      <c r="D9">
        <v>1</v>
      </c>
      <c r="E9">
        <v>39.130000000000003</v>
      </c>
      <c r="F9">
        <v>24.66</v>
      </c>
      <c r="G9">
        <v>270.38</v>
      </c>
      <c r="H9">
        <v>6.98</v>
      </c>
      <c r="I9">
        <v>480</v>
      </c>
      <c r="J9">
        <f t="shared" si="0"/>
        <v>3.7312854587273194</v>
      </c>
      <c r="K9">
        <f t="shared" si="3"/>
        <v>7.4625709174546389</v>
      </c>
      <c r="L9">
        <f t="shared" si="1"/>
        <v>6.9097878865320723</v>
      </c>
      <c r="M9">
        <f t="shared" si="2"/>
        <v>2</v>
      </c>
      <c r="N9" s="1" t="s">
        <v>35</v>
      </c>
      <c r="P9" t="s">
        <v>28</v>
      </c>
    </row>
    <row r="10" spans="1:16" x14ac:dyDescent="0.2">
      <c r="A10" t="s">
        <v>3</v>
      </c>
      <c r="B10">
        <v>1</v>
      </c>
      <c r="C10" t="s">
        <v>1</v>
      </c>
      <c r="D10">
        <v>1</v>
      </c>
      <c r="E10">
        <v>41.94</v>
      </c>
      <c r="F10">
        <v>16.09</v>
      </c>
      <c r="G10">
        <v>364.12</v>
      </c>
      <c r="H10">
        <v>5.37</v>
      </c>
      <c r="I10">
        <v>490</v>
      </c>
      <c r="J10">
        <f t="shared" si="0"/>
        <v>4.6882403433476405</v>
      </c>
      <c r="K10">
        <f t="shared" si="3"/>
        <v>9.376480686695281</v>
      </c>
      <c r="L10">
        <f t="shared" si="1"/>
        <v>8.6819265617548886</v>
      </c>
      <c r="M10">
        <f t="shared" si="2"/>
        <v>2</v>
      </c>
      <c r="N10" s="1" t="s">
        <v>35</v>
      </c>
      <c r="O10" t="s">
        <v>26</v>
      </c>
      <c r="P10" t="s">
        <v>28</v>
      </c>
    </row>
    <row r="11" spans="1:16" x14ac:dyDescent="0.2">
      <c r="A11" t="s">
        <v>3</v>
      </c>
      <c r="B11">
        <v>1</v>
      </c>
      <c r="C11" t="s">
        <v>1</v>
      </c>
      <c r="D11">
        <v>1</v>
      </c>
      <c r="E11">
        <v>42.06</v>
      </c>
      <c r="F11">
        <v>10.23</v>
      </c>
      <c r="G11">
        <v>365.03</v>
      </c>
      <c r="H11">
        <v>5.23</v>
      </c>
      <c r="I11">
        <v>490</v>
      </c>
      <c r="J11">
        <f t="shared" si="0"/>
        <v>4.686547788873038</v>
      </c>
      <c r="K11">
        <f t="shared" si="3"/>
        <v>9.373095577746076</v>
      </c>
      <c r="L11">
        <f t="shared" si="1"/>
        <v>8.6787922016167371</v>
      </c>
      <c r="M11">
        <f t="shared" si="2"/>
        <v>2</v>
      </c>
      <c r="N11" s="1" t="s">
        <v>35</v>
      </c>
      <c r="P11" t="s">
        <v>28</v>
      </c>
    </row>
    <row r="12" spans="1:16" x14ac:dyDescent="0.2">
      <c r="A12" t="s">
        <v>3</v>
      </c>
      <c r="B12">
        <v>2</v>
      </c>
      <c r="C12" t="s">
        <v>1</v>
      </c>
      <c r="D12">
        <v>1</v>
      </c>
      <c r="E12">
        <v>40.36</v>
      </c>
      <c r="F12">
        <v>9.39</v>
      </c>
      <c r="G12">
        <v>335.36</v>
      </c>
      <c r="H12">
        <v>5.59</v>
      </c>
      <c r="I12">
        <v>490</v>
      </c>
      <c r="J12">
        <f t="shared" si="0"/>
        <v>4.4869772051536181</v>
      </c>
      <c r="K12">
        <f t="shared" si="3"/>
        <v>8.9739544103072362</v>
      </c>
      <c r="L12">
        <f t="shared" si="1"/>
        <v>8.3092170465807733</v>
      </c>
      <c r="M12">
        <f t="shared" si="2"/>
        <v>2</v>
      </c>
      <c r="N12" s="1" t="s">
        <v>35</v>
      </c>
      <c r="O12" t="s">
        <v>26</v>
      </c>
      <c r="P12" t="s">
        <v>28</v>
      </c>
    </row>
    <row r="13" spans="1:16" x14ac:dyDescent="0.2">
      <c r="A13" t="s">
        <v>3</v>
      </c>
      <c r="B13">
        <v>2</v>
      </c>
      <c r="C13" t="s">
        <v>1</v>
      </c>
      <c r="D13">
        <v>1</v>
      </c>
      <c r="E13">
        <v>40.44</v>
      </c>
      <c r="F13">
        <v>17.100000000000001</v>
      </c>
      <c r="G13">
        <v>329.39</v>
      </c>
      <c r="H13">
        <v>4.54</v>
      </c>
      <c r="I13">
        <v>490</v>
      </c>
      <c r="J13">
        <f t="shared" si="0"/>
        <v>4.398382789317508</v>
      </c>
      <c r="K13">
        <f t="shared" si="3"/>
        <v>8.7967655786350161</v>
      </c>
      <c r="L13">
        <f t="shared" si="1"/>
        <v>8.1451533135509404</v>
      </c>
      <c r="M13">
        <f t="shared" si="2"/>
        <v>2</v>
      </c>
      <c r="N13" s="1" t="s">
        <v>35</v>
      </c>
      <c r="P13" t="s">
        <v>28</v>
      </c>
    </row>
    <row r="14" spans="1:16" x14ac:dyDescent="0.2">
      <c r="A14" t="s">
        <v>4</v>
      </c>
      <c r="B14">
        <v>1</v>
      </c>
      <c r="C14" t="s">
        <v>1</v>
      </c>
      <c r="D14">
        <v>1</v>
      </c>
      <c r="E14">
        <v>32.85</v>
      </c>
      <c r="F14">
        <v>11.64</v>
      </c>
      <c r="G14">
        <v>371.5</v>
      </c>
      <c r="H14">
        <v>6.91</v>
      </c>
      <c r="I14">
        <v>470</v>
      </c>
      <c r="J14">
        <f t="shared" si="0"/>
        <v>6.1068493150684935</v>
      </c>
      <c r="K14">
        <f t="shared" si="3"/>
        <v>12.213698630136987</v>
      </c>
      <c r="L14">
        <f t="shared" si="1"/>
        <v>11.308980213089802</v>
      </c>
      <c r="M14">
        <f t="shared" si="2"/>
        <v>4</v>
      </c>
      <c r="N14" s="1" t="s">
        <v>35</v>
      </c>
      <c r="P14" t="s">
        <v>28</v>
      </c>
    </row>
    <row r="15" spans="1:16" x14ac:dyDescent="0.2">
      <c r="A15" t="s">
        <v>4</v>
      </c>
      <c r="B15">
        <v>1</v>
      </c>
      <c r="C15" t="s">
        <v>1</v>
      </c>
      <c r="D15">
        <v>1</v>
      </c>
      <c r="E15">
        <v>32.39</v>
      </c>
      <c r="F15">
        <v>9.56</v>
      </c>
      <c r="G15">
        <v>373.73</v>
      </c>
      <c r="H15">
        <v>5.96</v>
      </c>
      <c r="I15">
        <v>470</v>
      </c>
      <c r="J15">
        <f t="shared" si="0"/>
        <v>6.2307564062982408</v>
      </c>
      <c r="K15">
        <f t="shared" si="3"/>
        <v>12.461512812596482</v>
      </c>
      <c r="L15">
        <f t="shared" si="1"/>
        <v>11.538437789441186</v>
      </c>
      <c r="M15">
        <f t="shared" si="2"/>
        <v>4</v>
      </c>
      <c r="N15" s="1" t="s">
        <v>35</v>
      </c>
      <c r="O15" t="s">
        <v>26</v>
      </c>
      <c r="P15" t="s">
        <v>28</v>
      </c>
    </row>
    <row r="16" spans="1:16" x14ac:dyDescent="0.2">
      <c r="A16" t="s">
        <v>4</v>
      </c>
      <c r="B16">
        <v>2</v>
      </c>
      <c r="C16" t="s">
        <v>1</v>
      </c>
      <c r="D16">
        <v>1</v>
      </c>
      <c r="E16">
        <v>31.77</v>
      </c>
      <c r="F16">
        <v>7.67</v>
      </c>
      <c r="G16">
        <v>347.63</v>
      </c>
      <c r="H16">
        <v>4.5</v>
      </c>
      <c r="I16">
        <v>472</v>
      </c>
      <c r="J16">
        <f t="shared" si="0"/>
        <v>5.9087252124645895</v>
      </c>
      <c r="K16">
        <f t="shared" si="3"/>
        <v>11.817450424929179</v>
      </c>
      <c r="L16">
        <f t="shared" si="1"/>
        <v>10.942083726786276</v>
      </c>
      <c r="M16">
        <f t="shared" si="2"/>
        <v>4</v>
      </c>
      <c r="N16" s="1" t="s">
        <v>35</v>
      </c>
      <c r="P16" t="s">
        <v>28</v>
      </c>
    </row>
    <row r="17" spans="1:16" x14ac:dyDescent="0.2">
      <c r="A17" t="s">
        <v>4</v>
      </c>
      <c r="B17">
        <v>2</v>
      </c>
      <c r="C17" t="s">
        <v>1</v>
      </c>
      <c r="D17">
        <v>1</v>
      </c>
      <c r="E17">
        <v>32.119999999999997</v>
      </c>
      <c r="F17">
        <v>11.77</v>
      </c>
      <c r="G17">
        <v>347.25</v>
      </c>
      <c r="H17">
        <v>5.2</v>
      </c>
      <c r="I17">
        <v>472</v>
      </c>
      <c r="J17">
        <f t="shared" si="0"/>
        <v>5.8379514321295147</v>
      </c>
      <c r="K17">
        <f t="shared" si="3"/>
        <v>11.675902864259029</v>
      </c>
      <c r="L17">
        <f t="shared" si="1"/>
        <v>10.811021170610212</v>
      </c>
      <c r="M17">
        <f t="shared" si="2"/>
        <v>4</v>
      </c>
      <c r="N17" s="1" t="s">
        <v>35</v>
      </c>
      <c r="P17" t="s">
        <v>28</v>
      </c>
    </row>
    <row r="18" spans="1:16" x14ac:dyDescent="0.2">
      <c r="A18" t="s">
        <v>5</v>
      </c>
      <c r="B18">
        <v>1</v>
      </c>
      <c r="C18" t="s">
        <v>1</v>
      </c>
      <c r="D18">
        <v>1</v>
      </c>
      <c r="E18">
        <v>44.29</v>
      </c>
      <c r="F18">
        <v>10.65</v>
      </c>
      <c r="G18">
        <v>378.79</v>
      </c>
      <c r="H18">
        <v>4.1399999999999997</v>
      </c>
      <c r="I18">
        <v>472</v>
      </c>
      <c r="J18">
        <f t="shared" si="0"/>
        <v>4.618347256717092</v>
      </c>
      <c r="K18">
        <f t="shared" si="3"/>
        <v>9.236694513434184</v>
      </c>
      <c r="L18">
        <f t="shared" si="1"/>
        <v>8.5524949198464668</v>
      </c>
      <c r="M18">
        <f t="shared" si="2"/>
        <v>2</v>
      </c>
      <c r="N18" s="1" t="s">
        <v>35</v>
      </c>
      <c r="P18" t="s">
        <v>28</v>
      </c>
    </row>
    <row r="19" spans="1:16" x14ac:dyDescent="0.2">
      <c r="A19" t="s">
        <v>5</v>
      </c>
      <c r="B19">
        <v>1</v>
      </c>
      <c r="C19" t="s">
        <v>1</v>
      </c>
      <c r="D19">
        <v>1</v>
      </c>
      <c r="E19">
        <v>44.51</v>
      </c>
      <c r="F19">
        <v>8.74</v>
      </c>
      <c r="G19">
        <v>377.79</v>
      </c>
      <c r="H19">
        <v>3.14</v>
      </c>
      <c r="I19">
        <v>472</v>
      </c>
      <c r="J19">
        <f t="shared" si="0"/>
        <v>4.5833880026960241</v>
      </c>
      <c r="K19">
        <f t="shared" si="3"/>
        <v>9.1667760053920482</v>
      </c>
      <c r="L19">
        <f t="shared" si="1"/>
        <v>8.4877555605481927</v>
      </c>
      <c r="M19">
        <f t="shared" si="2"/>
        <v>2</v>
      </c>
      <c r="N19" s="1" t="s">
        <v>35</v>
      </c>
      <c r="O19" t="s">
        <v>26</v>
      </c>
      <c r="P19" t="s">
        <v>28</v>
      </c>
    </row>
    <row r="20" spans="1:16" x14ac:dyDescent="0.2">
      <c r="A20" t="s">
        <v>5</v>
      </c>
      <c r="B20">
        <v>2</v>
      </c>
      <c r="C20" t="s">
        <v>1</v>
      </c>
      <c r="D20">
        <v>1</v>
      </c>
      <c r="E20">
        <v>44.03</v>
      </c>
      <c r="F20">
        <v>7.31</v>
      </c>
      <c r="G20">
        <v>372.91</v>
      </c>
      <c r="H20">
        <v>4.8</v>
      </c>
      <c r="I20">
        <v>472</v>
      </c>
      <c r="J20">
        <f t="shared" si="0"/>
        <v>4.5735044287985476</v>
      </c>
      <c r="K20">
        <f t="shared" si="3"/>
        <v>9.1470088575970951</v>
      </c>
      <c r="L20">
        <f t="shared" si="1"/>
        <v>8.4694526459232353</v>
      </c>
      <c r="M20">
        <f t="shared" si="2"/>
        <v>2</v>
      </c>
      <c r="N20" s="1" t="s">
        <v>35</v>
      </c>
      <c r="O20" t="s">
        <v>26</v>
      </c>
      <c r="P20" t="s">
        <v>28</v>
      </c>
    </row>
    <row r="21" spans="1:16" x14ac:dyDescent="0.2">
      <c r="A21" t="s">
        <v>5</v>
      </c>
      <c r="B21">
        <v>2</v>
      </c>
      <c r="C21" t="s">
        <v>1</v>
      </c>
      <c r="D21">
        <v>1</v>
      </c>
      <c r="E21">
        <v>43.91</v>
      </c>
      <c r="F21">
        <v>10.88</v>
      </c>
      <c r="G21">
        <v>372.31</v>
      </c>
      <c r="H21">
        <v>5.14</v>
      </c>
      <c r="I21">
        <v>472</v>
      </c>
      <c r="J21">
        <f t="shared" si="0"/>
        <v>4.5786244591209293</v>
      </c>
      <c r="K21">
        <f t="shared" si="3"/>
        <v>9.1572489182418586</v>
      </c>
      <c r="L21">
        <f t="shared" si="1"/>
        <v>8.4789341835572767</v>
      </c>
      <c r="M21">
        <f t="shared" si="2"/>
        <v>2</v>
      </c>
      <c r="N21" s="1" t="s">
        <v>35</v>
      </c>
      <c r="P21" t="s">
        <v>28</v>
      </c>
    </row>
    <row r="22" spans="1:16" x14ac:dyDescent="0.2">
      <c r="A22" t="s">
        <v>6</v>
      </c>
      <c r="B22">
        <v>1</v>
      </c>
      <c r="C22" t="s">
        <v>1</v>
      </c>
      <c r="D22">
        <v>1</v>
      </c>
      <c r="E22">
        <v>42.4</v>
      </c>
      <c r="F22">
        <v>10.612</v>
      </c>
      <c r="G22">
        <v>396.87</v>
      </c>
      <c r="H22">
        <v>4.59</v>
      </c>
      <c r="I22">
        <v>462</v>
      </c>
      <c r="J22">
        <f t="shared" si="0"/>
        <v>5.0544764150943395</v>
      </c>
      <c r="K22">
        <f t="shared" si="3"/>
        <v>10.108952830188679</v>
      </c>
      <c r="L22">
        <f t="shared" si="1"/>
        <v>9.3601415094339622</v>
      </c>
      <c r="M22">
        <f t="shared" si="2"/>
        <v>2</v>
      </c>
      <c r="N22" s="1" t="s">
        <v>35</v>
      </c>
      <c r="P22" t="s">
        <v>28</v>
      </c>
    </row>
    <row r="23" spans="1:16" x14ac:dyDescent="0.2">
      <c r="A23" t="s">
        <v>6</v>
      </c>
      <c r="B23">
        <v>1</v>
      </c>
      <c r="C23" t="s">
        <v>1</v>
      </c>
      <c r="D23">
        <v>1</v>
      </c>
      <c r="E23">
        <v>42.72</v>
      </c>
      <c r="F23">
        <v>8.41</v>
      </c>
      <c r="G23">
        <v>396.14</v>
      </c>
      <c r="H23">
        <v>4.1399999999999997</v>
      </c>
      <c r="I23">
        <v>462</v>
      </c>
      <c r="J23">
        <f t="shared" si="0"/>
        <v>5.0073876404494388</v>
      </c>
      <c r="K23">
        <f t="shared" si="3"/>
        <v>10.014775280898878</v>
      </c>
      <c r="L23">
        <f t="shared" si="1"/>
        <v>9.2729400749063675</v>
      </c>
      <c r="M23">
        <f t="shared" si="2"/>
        <v>2</v>
      </c>
      <c r="N23" s="1" t="s">
        <v>35</v>
      </c>
      <c r="O23" t="s">
        <v>26</v>
      </c>
      <c r="P23" t="s">
        <v>28</v>
      </c>
    </row>
    <row r="24" spans="1:16" x14ac:dyDescent="0.2">
      <c r="A24" t="s">
        <v>6</v>
      </c>
      <c r="B24">
        <v>2</v>
      </c>
      <c r="C24" t="s">
        <v>1</v>
      </c>
      <c r="D24">
        <v>1</v>
      </c>
      <c r="E24">
        <v>40.630000000000003</v>
      </c>
      <c r="F24">
        <v>9.9499999999999993</v>
      </c>
      <c r="G24">
        <v>366.94</v>
      </c>
      <c r="H24">
        <v>3.69</v>
      </c>
      <c r="I24">
        <v>462</v>
      </c>
      <c r="J24">
        <f t="shared" si="0"/>
        <v>4.8768791533349738</v>
      </c>
      <c r="K24">
        <f t="shared" si="3"/>
        <v>9.7537583066699476</v>
      </c>
      <c r="L24">
        <f t="shared" si="1"/>
        <v>9.0312576913610627</v>
      </c>
      <c r="M24">
        <f t="shared" si="2"/>
        <v>2</v>
      </c>
      <c r="N24" s="1" t="s">
        <v>35</v>
      </c>
      <c r="P24" t="s">
        <v>28</v>
      </c>
    </row>
    <row r="25" spans="1:16" x14ac:dyDescent="0.2">
      <c r="A25" t="s">
        <v>6</v>
      </c>
      <c r="B25">
        <v>2</v>
      </c>
      <c r="C25" t="s">
        <v>1</v>
      </c>
      <c r="D25">
        <v>1</v>
      </c>
      <c r="E25">
        <v>40.18</v>
      </c>
      <c r="F25">
        <v>10.15</v>
      </c>
      <c r="G25">
        <v>366.54</v>
      </c>
      <c r="H25">
        <v>4.12</v>
      </c>
      <c r="I25">
        <v>462</v>
      </c>
      <c r="J25">
        <f t="shared" si="0"/>
        <v>4.9261224489795925</v>
      </c>
      <c r="K25">
        <f t="shared" si="3"/>
        <v>9.852244897959185</v>
      </c>
      <c r="L25">
        <f t="shared" si="1"/>
        <v>9.1224489795918373</v>
      </c>
      <c r="M25">
        <f t="shared" si="2"/>
        <v>2</v>
      </c>
      <c r="N25" s="1" t="s">
        <v>35</v>
      </c>
      <c r="O25" t="s">
        <v>26</v>
      </c>
      <c r="P25" t="s">
        <v>28</v>
      </c>
    </row>
    <row r="26" spans="1:16" x14ac:dyDescent="0.2">
      <c r="A26" t="s">
        <v>7</v>
      </c>
      <c r="B26">
        <v>1</v>
      </c>
      <c r="C26" t="s">
        <v>1</v>
      </c>
      <c r="D26">
        <v>1</v>
      </c>
      <c r="E26">
        <v>46.41</v>
      </c>
      <c r="F26">
        <v>12.49</v>
      </c>
      <c r="G26">
        <v>364.81</v>
      </c>
      <c r="H26">
        <v>4.18</v>
      </c>
      <c r="I26">
        <v>460</v>
      </c>
      <c r="J26">
        <f t="shared" si="0"/>
        <v>4.2447188106011637</v>
      </c>
      <c r="K26">
        <f t="shared" si="3"/>
        <v>8.4894376212023275</v>
      </c>
      <c r="L26">
        <f t="shared" si="1"/>
        <v>7.8605903900021552</v>
      </c>
      <c r="M26">
        <f t="shared" si="2"/>
        <v>2</v>
      </c>
      <c r="N26" s="1" t="s">
        <v>35</v>
      </c>
      <c r="P26" t="s">
        <v>28</v>
      </c>
    </row>
    <row r="27" spans="1:16" x14ac:dyDescent="0.2">
      <c r="A27" t="s">
        <v>7</v>
      </c>
      <c r="B27">
        <v>1</v>
      </c>
      <c r="C27" t="s">
        <v>1</v>
      </c>
      <c r="D27">
        <v>1</v>
      </c>
      <c r="E27">
        <v>46.7</v>
      </c>
      <c r="F27">
        <v>9.9</v>
      </c>
      <c r="G27">
        <v>365.34</v>
      </c>
      <c r="H27">
        <v>3.95</v>
      </c>
      <c r="I27">
        <v>460</v>
      </c>
      <c r="J27">
        <f t="shared" si="0"/>
        <v>4.2244882226980724</v>
      </c>
      <c r="K27">
        <f t="shared" si="3"/>
        <v>8.4489764453961449</v>
      </c>
      <c r="L27">
        <f t="shared" si="1"/>
        <v>7.8231263383297636</v>
      </c>
      <c r="M27">
        <f t="shared" si="2"/>
        <v>2</v>
      </c>
      <c r="N27" s="1" t="s">
        <v>35</v>
      </c>
      <c r="O27" t="s">
        <v>26</v>
      </c>
      <c r="P27" t="s">
        <v>28</v>
      </c>
    </row>
    <row r="28" spans="1:16" x14ac:dyDescent="0.2">
      <c r="A28" t="s">
        <v>7</v>
      </c>
      <c r="B28">
        <v>2</v>
      </c>
      <c r="C28" t="s">
        <v>1</v>
      </c>
      <c r="D28">
        <v>1</v>
      </c>
      <c r="E28">
        <v>44.61</v>
      </c>
      <c r="F28">
        <v>13.18</v>
      </c>
      <c r="G28">
        <v>334.35</v>
      </c>
      <c r="H28">
        <v>4.45</v>
      </c>
      <c r="I28">
        <v>460</v>
      </c>
      <c r="J28">
        <f t="shared" si="0"/>
        <v>4.0472763954270352</v>
      </c>
      <c r="K28">
        <f t="shared" si="3"/>
        <v>8.0945527908540704</v>
      </c>
      <c r="L28">
        <f t="shared" si="1"/>
        <v>7.4949562878278417</v>
      </c>
      <c r="M28">
        <f t="shared" si="2"/>
        <v>2</v>
      </c>
      <c r="N28" s="1" t="s">
        <v>35</v>
      </c>
      <c r="O28" t="s">
        <v>26</v>
      </c>
      <c r="P28" t="s">
        <v>28</v>
      </c>
    </row>
    <row r="29" spans="1:16" x14ac:dyDescent="0.2">
      <c r="A29" t="s">
        <v>7</v>
      </c>
      <c r="B29">
        <v>2</v>
      </c>
      <c r="C29" t="s">
        <v>1</v>
      </c>
      <c r="D29">
        <v>1</v>
      </c>
      <c r="E29">
        <v>45.15</v>
      </c>
      <c r="F29">
        <v>13.74</v>
      </c>
      <c r="G29">
        <v>334.03</v>
      </c>
      <c r="H29">
        <v>4.93</v>
      </c>
      <c r="I29">
        <v>460</v>
      </c>
      <c r="J29">
        <f t="shared" si="0"/>
        <v>3.9950431893687708</v>
      </c>
      <c r="K29">
        <f t="shared" si="3"/>
        <v>7.9900863787375416</v>
      </c>
      <c r="L29">
        <f t="shared" si="1"/>
        <v>7.3982281284606861</v>
      </c>
      <c r="M29">
        <f t="shared" si="2"/>
        <v>2</v>
      </c>
      <c r="N29" s="1" t="s">
        <v>35</v>
      </c>
      <c r="P29" t="s">
        <v>28</v>
      </c>
    </row>
    <row r="30" spans="1:16" x14ac:dyDescent="0.2">
      <c r="A30" t="s">
        <v>8</v>
      </c>
      <c r="B30">
        <v>1</v>
      </c>
      <c r="C30" t="s">
        <v>1</v>
      </c>
      <c r="D30">
        <v>1</v>
      </c>
      <c r="E30">
        <v>41.35</v>
      </c>
      <c r="F30">
        <v>10.6</v>
      </c>
      <c r="G30">
        <v>385</v>
      </c>
      <c r="H30">
        <v>4.66</v>
      </c>
      <c r="I30">
        <v>460</v>
      </c>
      <c r="J30">
        <f t="shared" si="0"/>
        <v>5.0278113663845225</v>
      </c>
      <c r="K30">
        <f t="shared" si="3"/>
        <v>10.055622732769045</v>
      </c>
      <c r="L30">
        <f t="shared" si="1"/>
        <v>9.3107617896009671</v>
      </c>
      <c r="M30">
        <f t="shared" si="2"/>
        <v>2</v>
      </c>
      <c r="N30" s="1" t="s">
        <v>35</v>
      </c>
      <c r="P30" t="s">
        <v>28</v>
      </c>
    </row>
    <row r="31" spans="1:16" x14ac:dyDescent="0.2">
      <c r="A31" t="s">
        <v>8</v>
      </c>
      <c r="B31">
        <v>1</v>
      </c>
      <c r="C31" t="s">
        <v>1</v>
      </c>
      <c r="D31">
        <v>1</v>
      </c>
      <c r="E31">
        <v>41.5</v>
      </c>
      <c r="F31">
        <v>8.2100000000000009</v>
      </c>
      <c r="G31">
        <v>384.51</v>
      </c>
      <c r="H31">
        <v>3.47</v>
      </c>
      <c r="I31">
        <v>460</v>
      </c>
      <c r="J31">
        <f t="shared" si="0"/>
        <v>5.0032626506024096</v>
      </c>
      <c r="K31">
        <f t="shared" si="3"/>
        <v>10.006525301204819</v>
      </c>
      <c r="L31">
        <f t="shared" si="1"/>
        <v>9.2653012048192771</v>
      </c>
      <c r="M31">
        <f t="shared" si="2"/>
        <v>2</v>
      </c>
      <c r="N31" s="1" t="s">
        <v>35</v>
      </c>
      <c r="O31" t="s">
        <v>26</v>
      </c>
      <c r="P31" t="s">
        <v>28</v>
      </c>
    </row>
    <row r="32" spans="1:16" x14ac:dyDescent="0.2">
      <c r="A32" t="s">
        <v>8</v>
      </c>
      <c r="B32">
        <v>2</v>
      </c>
      <c r="C32" t="s">
        <v>1</v>
      </c>
      <c r="D32">
        <v>1</v>
      </c>
      <c r="E32">
        <v>39.9</v>
      </c>
      <c r="F32">
        <v>8.17</v>
      </c>
      <c r="G32">
        <v>364.17</v>
      </c>
      <c r="H32">
        <v>3.65</v>
      </c>
      <c r="I32">
        <v>460</v>
      </c>
      <c r="J32">
        <f>G32/E32*0.54</f>
        <v>4.9286165413533842</v>
      </c>
      <c r="K32">
        <f t="shared" si="3"/>
        <v>9.8572330827067685</v>
      </c>
      <c r="L32">
        <f t="shared" si="1"/>
        <v>9.1270676691729324</v>
      </c>
      <c r="M32">
        <f t="shared" si="2"/>
        <v>2</v>
      </c>
      <c r="N32" s="1" t="s">
        <v>35</v>
      </c>
      <c r="P32" t="s">
        <v>28</v>
      </c>
    </row>
    <row r="33" spans="1:16" x14ac:dyDescent="0.2">
      <c r="A33" t="s">
        <v>8</v>
      </c>
      <c r="B33">
        <v>2</v>
      </c>
      <c r="C33" t="s">
        <v>1</v>
      </c>
      <c r="D33">
        <v>1</v>
      </c>
      <c r="E33">
        <v>39.99</v>
      </c>
      <c r="F33">
        <v>9.85</v>
      </c>
      <c r="G33">
        <v>365.21</v>
      </c>
      <c r="H33">
        <v>3.37</v>
      </c>
      <c r="I33">
        <v>460</v>
      </c>
      <c r="J33">
        <f t="shared" ref="J33:J47" si="4">G33/E33*0.54</f>
        <v>4.9315678919729926</v>
      </c>
      <c r="K33">
        <f t="shared" si="3"/>
        <v>9.8631357839459852</v>
      </c>
      <c r="L33">
        <f t="shared" si="1"/>
        <v>9.1325331332833191</v>
      </c>
      <c r="M33">
        <f t="shared" si="2"/>
        <v>2</v>
      </c>
      <c r="N33" s="1" t="s">
        <v>35</v>
      </c>
      <c r="O33" t="s">
        <v>26</v>
      </c>
      <c r="P33" t="s">
        <v>28</v>
      </c>
    </row>
    <row r="34" spans="1:16" x14ac:dyDescent="0.2">
      <c r="A34" t="s">
        <v>9</v>
      </c>
      <c r="B34">
        <v>1</v>
      </c>
      <c r="C34" t="s">
        <v>1</v>
      </c>
      <c r="D34">
        <v>1</v>
      </c>
      <c r="E34">
        <v>44.41</v>
      </c>
      <c r="F34">
        <v>12.78</v>
      </c>
      <c r="G34">
        <v>346.4</v>
      </c>
      <c r="H34">
        <v>4.91</v>
      </c>
      <c r="I34">
        <v>480</v>
      </c>
      <c r="J34">
        <f t="shared" si="4"/>
        <v>4.2120243188471065</v>
      </c>
      <c r="K34">
        <f t="shared" si="3"/>
        <v>8.424048637694213</v>
      </c>
      <c r="L34">
        <f t="shared" si="1"/>
        <v>7.8000450349020491</v>
      </c>
      <c r="M34">
        <f t="shared" si="2"/>
        <v>2</v>
      </c>
      <c r="N34" s="1" t="s">
        <v>35</v>
      </c>
      <c r="P34" t="s">
        <v>28</v>
      </c>
    </row>
    <row r="35" spans="1:16" x14ac:dyDescent="0.2">
      <c r="A35" t="s">
        <v>9</v>
      </c>
      <c r="B35">
        <v>1</v>
      </c>
      <c r="C35" t="s">
        <v>1</v>
      </c>
      <c r="D35">
        <v>1</v>
      </c>
      <c r="E35">
        <v>44.8</v>
      </c>
      <c r="F35">
        <v>9.9</v>
      </c>
      <c r="G35">
        <v>346.68</v>
      </c>
      <c r="H35">
        <v>4.99</v>
      </c>
      <c r="I35">
        <v>480</v>
      </c>
      <c r="J35">
        <f t="shared" si="4"/>
        <v>4.178732142857144</v>
      </c>
      <c r="K35">
        <f t="shared" si="3"/>
        <v>8.357464285714288</v>
      </c>
      <c r="L35">
        <f t="shared" si="1"/>
        <v>7.7383928571428582</v>
      </c>
      <c r="M35">
        <f t="shared" si="2"/>
        <v>2</v>
      </c>
      <c r="N35" s="1" t="s">
        <v>35</v>
      </c>
      <c r="O35" t="s">
        <v>26</v>
      </c>
      <c r="P35" t="s">
        <v>28</v>
      </c>
    </row>
    <row r="36" spans="1:16" x14ac:dyDescent="0.2">
      <c r="A36" t="s">
        <v>9</v>
      </c>
      <c r="B36">
        <v>2</v>
      </c>
      <c r="C36" t="s">
        <v>1</v>
      </c>
      <c r="D36">
        <v>1</v>
      </c>
      <c r="E36">
        <v>43.97</v>
      </c>
      <c r="F36">
        <v>11.31</v>
      </c>
      <c r="G36">
        <v>340.64</v>
      </c>
      <c r="H36">
        <v>4.71</v>
      </c>
      <c r="I36">
        <v>483</v>
      </c>
      <c r="J36">
        <f t="shared" si="4"/>
        <v>4.1834341596543103</v>
      </c>
      <c r="K36">
        <f t="shared" si="3"/>
        <v>8.3668683193086206</v>
      </c>
      <c r="L36">
        <f t="shared" si="1"/>
        <v>7.7471002956561295</v>
      </c>
      <c r="M36">
        <f t="shared" si="2"/>
        <v>2</v>
      </c>
      <c r="N36" s="1" t="s">
        <v>35</v>
      </c>
      <c r="P36" t="s">
        <v>28</v>
      </c>
    </row>
    <row r="37" spans="1:16" x14ac:dyDescent="0.2">
      <c r="A37" t="s">
        <v>9</v>
      </c>
      <c r="B37">
        <v>2</v>
      </c>
      <c r="C37" t="s">
        <v>1</v>
      </c>
      <c r="D37">
        <v>1</v>
      </c>
      <c r="E37">
        <v>44.34</v>
      </c>
      <c r="F37">
        <v>11.73</v>
      </c>
      <c r="G37">
        <v>337.5</v>
      </c>
      <c r="H37">
        <v>4.25</v>
      </c>
      <c r="I37">
        <v>483</v>
      </c>
      <c r="J37">
        <f t="shared" si="4"/>
        <v>4.1102841677943163</v>
      </c>
      <c r="K37">
        <f t="shared" si="3"/>
        <v>8.2205683355886325</v>
      </c>
      <c r="L37">
        <f t="shared" si="1"/>
        <v>7.6116373477672523</v>
      </c>
      <c r="M37">
        <f t="shared" si="2"/>
        <v>2</v>
      </c>
      <c r="N37" s="1" t="s">
        <v>35</v>
      </c>
      <c r="O37" t="s">
        <v>26</v>
      </c>
      <c r="P37" t="s">
        <v>28</v>
      </c>
    </row>
    <row r="38" spans="1:16" x14ac:dyDescent="0.2">
      <c r="A38" t="s">
        <v>10</v>
      </c>
      <c r="B38">
        <v>1</v>
      </c>
      <c r="C38" t="s">
        <v>1</v>
      </c>
      <c r="D38">
        <v>1</v>
      </c>
      <c r="E38">
        <v>45.73</v>
      </c>
      <c r="F38">
        <v>12.68</v>
      </c>
      <c r="G38">
        <v>386.27</v>
      </c>
      <c r="H38">
        <v>3.83</v>
      </c>
      <c r="I38">
        <v>483</v>
      </c>
      <c r="J38">
        <f t="shared" si="4"/>
        <v>4.561246446534005</v>
      </c>
      <c r="K38">
        <f t="shared" si="3"/>
        <v>9.12249289306801</v>
      </c>
      <c r="L38">
        <f t="shared" si="1"/>
        <v>8.4467526787666749</v>
      </c>
      <c r="M38">
        <f t="shared" si="2"/>
        <v>2</v>
      </c>
      <c r="N38" s="1" t="s">
        <v>35</v>
      </c>
      <c r="P38" t="s">
        <v>28</v>
      </c>
    </row>
    <row r="39" spans="1:16" x14ac:dyDescent="0.2">
      <c r="A39" t="s">
        <v>10</v>
      </c>
      <c r="B39">
        <v>1</v>
      </c>
      <c r="C39" t="s">
        <v>1</v>
      </c>
      <c r="D39">
        <v>1</v>
      </c>
      <c r="E39">
        <v>46.14</v>
      </c>
      <c r="F39">
        <v>9.24</v>
      </c>
      <c r="G39">
        <v>388.93</v>
      </c>
      <c r="H39">
        <v>4.1399999999999997</v>
      </c>
      <c r="I39">
        <v>466</v>
      </c>
      <c r="J39">
        <f t="shared" si="4"/>
        <v>4.5518465539661896</v>
      </c>
      <c r="K39">
        <f t="shared" si="3"/>
        <v>9.1036931079323793</v>
      </c>
      <c r="L39">
        <f t="shared" si="1"/>
        <v>8.4293454703077586</v>
      </c>
      <c r="M39">
        <f t="shared" si="2"/>
        <v>2</v>
      </c>
      <c r="N39" s="1" t="s">
        <v>35</v>
      </c>
      <c r="O39" t="s">
        <v>26</v>
      </c>
      <c r="P39" t="s">
        <v>28</v>
      </c>
    </row>
    <row r="40" spans="1:16" x14ac:dyDescent="0.2">
      <c r="A40" t="s">
        <v>10</v>
      </c>
      <c r="B40">
        <v>2</v>
      </c>
      <c r="C40" t="s">
        <v>1</v>
      </c>
      <c r="D40">
        <v>1</v>
      </c>
      <c r="E40">
        <v>44.74</v>
      </c>
      <c r="F40">
        <v>8.56</v>
      </c>
      <c r="G40">
        <v>376.54</v>
      </c>
      <c r="H40">
        <v>2.4900000000000002</v>
      </c>
      <c r="I40">
        <v>466</v>
      </c>
      <c r="J40">
        <f t="shared" si="4"/>
        <v>4.5447384890478322</v>
      </c>
      <c r="K40">
        <f t="shared" si="3"/>
        <v>9.0894769780956644</v>
      </c>
      <c r="L40">
        <f t="shared" si="1"/>
        <v>8.4161823871256143</v>
      </c>
      <c r="M40">
        <f t="shared" si="2"/>
        <v>2</v>
      </c>
      <c r="N40" s="1" t="s">
        <v>35</v>
      </c>
      <c r="P40" t="s">
        <v>28</v>
      </c>
    </row>
    <row r="41" spans="1:16" x14ac:dyDescent="0.2">
      <c r="A41" t="s">
        <v>10</v>
      </c>
      <c r="B41">
        <v>2</v>
      </c>
      <c r="C41" t="s">
        <v>1</v>
      </c>
      <c r="D41">
        <v>1</v>
      </c>
      <c r="E41">
        <v>45.36</v>
      </c>
      <c r="F41">
        <v>8.6</v>
      </c>
      <c r="G41">
        <v>375.7</v>
      </c>
      <c r="H41">
        <v>2.83</v>
      </c>
      <c r="I41">
        <v>466</v>
      </c>
      <c r="J41">
        <f t="shared" si="4"/>
        <v>4.4726190476190482</v>
      </c>
      <c r="K41">
        <f t="shared" si="3"/>
        <v>8.9452380952380963</v>
      </c>
      <c r="L41">
        <f t="shared" si="1"/>
        <v>8.2826278659611994</v>
      </c>
      <c r="M41">
        <f t="shared" si="2"/>
        <v>2</v>
      </c>
      <c r="N41" s="1" t="s">
        <v>35</v>
      </c>
      <c r="O41" t="s">
        <v>26</v>
      </c>
      <c r="P41" t="s">
        <v>28</v>
      </c>
    </row>
    <row r="42" spans="1:16" x14ac:dyDescent="0.2">
      <c r="A42" t="s">
        <v>10</v>
      </c>
      <c r="B42">
        <v>3</v>
      </c>
      <c r="C42" t="s">
        <v>1</v>
      </c>
      <c r="D42">
        <v>1</v>
      </c>
      <c r="E42">
        <v>44.68</v>
      </c>
      <c r="F42">
        <v>9.15</v>
      </c>
      <c r="G42">
        <v>371.82</v>
      </c>
      <c r="H42">
        <v>2.98</v>
      </c>
      <c r="I42">
        <v>466</v>
      </c>
      <c r="J42">
        <f t="shared" si="4"/>
        <v>4.4937958818263208</v>
      </c>
      <c r="K42">
        <f t="shared" si="3"/>
        <v>8.9875917636526417</v>
      </c>
      <c r="L42">
        <f t="shared" si="1"/>
        <v>8.3218442256042966</v>
      </c>
      <c r="M42">
        <f t="shared" si="2"/>
        <v>2</v>
      </c>
      <c r="N42" s="1" t="s">
        <v>35</v>
      </c>
      <c r="O42" t="s">
        <v>26</v>
      </c>
      <c r="P42" t="s">
        <v>28</v>
      </c>
    </row>
    <row r="43" spans="1:16" x14ac:dyDescent="0.2">
      <c r="A43" t="s">
        <v>10</v>
      </c>
      <c r="B43">
        <v>3</v>
      </c>
      <c r="C43" t="s">
        <v>1</v>
      </c>
      <c r="D43">
        <v>1</v>
      </c>
      <c r="E43">
        <v>44.11</v>
      </c>
      <c r="F43">
        <v>9.33</v>
      </c>
      <c r="G43">
        <v>372.71</v>
      </c>
      <c r="H43">
        <v>2.38</v>
      </c>
      <c r="I43">
        <v>466</v>
      </c>
      <c r="J43">
        <f t="shared" si="4"/>
        <v>4.5627612786216272</v>
      </c>
      <c r="K43">
        <f t="shared" si="3"/>
        <v>9.1255225572432543</v>
      </c>
      <c r="L43">
        <f t="shared" si="1"/>
        <v>8.4495579233733835</v>
      </c>
      <c r="M43">
        <f t="shared" si="2"/>
        <v>2</v>
      </c>
      <c r="N43" s="1" t="s">
        <v>35</v>
      </c>
      <c r="P43" t="s">
        <v>28</v>
      </c>
    </row>
    <row r="44" spans="1:16" x14ac:dyDescent="0.2">
      <c r="A44" t="s">
        <v>29</v>
      </c>
      <c r="B44">
        <v>1</v>
      </c>
      <c r="C44" t="s">
        <v>1</v>
      </c>
      <c r="D44">
        <v>1</v>
      </c>
      <c r="E44">
        <v>44.7</v>
      </c>
      <c r="F44">
        <v>12.09</v>
      </c>
      <c r="G44">
        <v>366.29</v>
      </c>
      <c r="H44">
        <v>5.35</v>
      </c>
      <c r="I44">
        <v>466</v>
      </c>
      <c r="J44">
        <f t="shared" si="4"/>
        <v>4.4249798657718129</v>
      </c>
      <c r="K44">
        <f t="shared" si="3"/>
        <v>8.8499597315436258</v>
      </c>
      <c r="L44">
        <f t="shared" si="1"/>
        <v>8.1944071588366896</v>
      </c>
      <c r="M44">
        <f t="shared" si="2"/>
        <v>2</v>
      </c>
      <c r="N44" s="1" t="s">
        <v>35</v>
      </c>
      <c r="P44" t="s">
        <v>28</v>
      </c>
    </row>
    <row r="45" spans="1:16" x14ac:dyDescent="0.2">
      <c r="A45" t="s">
        <v>29</v>
      </c>
      <c r="B45">
        <v>1</v>
      </c>
      <c r="C45" t="s">
        <v>1</v>
      </c>
      <c r="D45">
        <v>1</v>
      </c>
      <c r="E45">
        <v>45.07</v>
      </c>
      <c r="F45">
        <v>7.64</v>
      </c>
      <c r="G45">
        <v>365.71</v>
      </c>
      <c r="H45">
        <v>4.6399999999999997</v>
      </c>
      <c r="I45">
        <v>466</v>
      </c>
      <c r="J45">
        <f t="shared" si="4"/>
        <v>4.3817040159751501</v>
      </c>
      <c r="K45">
        <f t="shared" si="3"/>
        <v>8.7634080319503003</v>
      </c>
      <c r="L45">
        <f t="shared" si="1"/>
        <v>8.1142666962502776</v>
      </c>
      <c r="M45">
        <f t="shared" si="2"/>
        <v>2</v>
      </c>
      <c r="N45" s="1" t="s">
        <v>35</v>
      </c>
      <c r="P45" t="s">
        <v>28</v>
      </c>
    </row>
    <row r="46" spans="1:16" x14ac:dyDescent="0.2">
      <c r="A46" t="s">
        <v>29</v>
      </c>
      <c r="B46">
        <v>2</v>
      </c>
      <c r="C46" t="s">
        <v>1</v>
      </c>
      <c r="D46">
        <v>1</v>
      </c>
      <c r="E46">
        <v>43.69</v>
      </c>
      <c r="F46">
        <v>8.1199999999999992</v>
      </c>
      <c r="G46">
        <v>351</v>
      </c>
      <c r="H46">
        <v>4.9400000000000004</v>
      </c>
      <c r="I46">
        <v>466</v>
      </c>
      <c r="J46">
        <f t="shared" si="4"/>
        <v>4.3382925154497602</v>
      </c>
      <c r="K46">
        <f t="shared" si="3"/>
        <v>8.6765850308995205</v>
      </c>
      <c r="L46">
        <f t="shared" si="1"/>
        <v>8.0338750286106659</v>
      </c>
      <c r="M46">
        <f t="shared" si="2"/>
        <v>2</v>
      </c>
      <c r="N46" s="1" t="s">
        <v>35</v>
      </c>
      <c r="O46" t="s">
        <v>26</v>
      </c>
      <c r="P46" t="s">
        <v>28</v>
      </c>
    </row>
    <row r="47" spans="1:16" x14ac:dyDescent="0.2">
      <c r="A47" t="s">
        <v>29</v>
      </c>
      <c r="B47">
        <v>2</v>
      </c>
      <c r="C47" t="s">
        <v>1</v>
      </c>
      <c r="D47">
        <v>1</v>
      </c>
      <c r="E47">
        <v>43.66</v>
      </c>
      <c r="F47">
        <v>8.83</v>
      </c>
      <c r="G47">
        <v>348.66</v>
      </c>
      <c r="H47">
        <v>4.6399999999999997</v>
      </c>
      <c r="I47">
        <v>466</v>
      </c>
      <c r="J47">
        <f t="shared" si="4"/>
        <v>4.3123316536875862</v>
      </c>
      <c r="K47">
        <f t="shared" si="3"/>
        <v>8.6246633073751724</v>
      </c>
      <c r="L47">
        <f t="shared" si="1"/>
        <v>7.9857993586807154</v>
      </c>
      <c r="M47">
        <f t="shared" si="2"/>
        <v>2</v>
      </c>
      <c r="N47" s="1" t="s">
        <v>35</v>
      </c>
      <c r="P47" t="s">
        <v>28</v>
      </c>
    </row>
    <row r="48" spans="1:16" x14ac:dyDescent="0.2">
      <c r="A48" t="s">
        <v>2</v>
      </c>
      <c r="B48">
        <v>1</v>
      </c>
      <c r="C48" t="s">
        <v>30</v>
      </c>
      <c r="D48">
        <v>1</v>
      </c>
      <c r="E48">
        <v>107.32</v>
      </c>
      <c r="F48">
        <v>7.87</v>
      </c>
      <c r="G48">
        <v>241.59</v>
      </c>
      <c r="H48">
        <v>5.45</v>
      </c>
      <c r="I48">
        <v>405</v>
      </c>
      <c r="J48">
        <f>G48/E48*2.645</f>
        <v>5.9542075102497209</v>
      </c>
      <c r="K48">
        <f>J48*2</f>
        <v>11.908415020499442</v>
      </c>
      <c r="L48">
        <f>G48/E48</f>
        <v>2.251118151323146</v>
      </c>
      <c r="M48">
        <f t="shared" si="2"/>
        <v>2</v>
      </c>
      <c r="N48" s="1" t="s">
        <v>31</v>
      </c>
      <c r="O48" t="s">
        <v>26</v>
      </c>
      <c r="P48" t="s">
        <v>28</v>
      </c>
    </row>
    <row r="49" spans="1:16" x14ac:dyDescent="0.2">
      <c r="A49" t="s">
        <v>2</v>
      </c>
      <c r="B49">
        <v>1</v>
      </c>
      <c r="C49" t="s">
        <v>30</v>
      </c>
      <c r="D49">
        <v>1</v>
      </c>
      <c r="E49">
        <v>107.95</v>
      </c>
      <c r="F49">
        <v>6.04</v>
      </c>
      <c r="G49">
        <v>241.91</v>
      </c>
      <c r="H49">
        <v>4.7699999999999996</v>
      </c>
      <c r="I49">
        <v>405</v>
      </c>
      <c r="J49">
        <f>G49/E49*2.645</f>
        <v>5.9272992125984247</v>
      </c>
      <c r="K49">
        <f t="shared" si="3"/>
        <v>11.854598425196849</v>
      </c>
      <c r="L49">
        <f>G49/E49</f>
        <v>2.2409448818897637</v>
      </c>
      <c r="M49">
        <f t="shared" si="2"/>
        <v>2</v>
      </c>
      <c r="N49" s="1" t="s">
        <v>31</v>
      </c>
      <c r="O49" t="s">
        <v>32</v>
      </c>
      <c r="P49" t="s">
        <v>28</v>
      </c>
    </row>
    <row r="50" spans="1:16" x14ac:dyDescent="0.2">
      <c r="A50" t="s">
        <v>2</v>
      </c>
      <c r="B50">
        <v>2</v>
      </c>
      <c r="C50" t="s">
        <v>30</v>
      </c>
      <c r="D50">
        <v>1</v>
      </c>
      <c r="E50">
        <v>108.45</v>
      </c>
      <c r="F50">
        <v>6.13</v>
      </c>
      <c r="G50">
        <v>240.52</v>
      </c>
      <c r="H50">
        <v>4.8499999999999996</v>
      </c>
      <c r="I50">
        <v>405</v>
      </c>
      <c r="J50">
        <f t="shared" ref="J50:J128" si="5">G50/E50*2.645</f>
        <v>5.8660710004610426</v>
      </c>
      <c r="K50">
        <f t="shared" ref="K50:K128" si="6">J50*2</f>
        <v>11.732142000922085</v>
      </c>
      <c r="L50">
        <f t="shared" ref="L50:L128" si="7">G50/E50</f>
        <v>2.2177962194559706</v>
      </c>
      <c r="M50">
        <f t="shared" si="2"/>
        <v>2</v>
      </c>
      <c r="N50" s="1" t="s">
        <v>31</v>
      </c>
      <c r="O50" t="s">
        <v>32</v>
      </c>
      <c r="P50" t="s">
        <v>28</v>
      </c>
    </row>
    <row r="51" spans="1:16" x14ac:dyDescent="0.2">
      <c r="A51" t="s">
        <v>2</v>
      </c>
      <c r="B51">
        <v>2</v>
      </c>
      <c r="C51" t="s">
        <v>30</v>
      </c>
      <c r="D51">
        <v>1</v>
      </c>
      <c r="E51">
        <v>106.63</v>
      </c>
      <c r="F51">
        <v>10.199999999999999</v>
      </c>
      <c r="G51">
        <v>240.49</v>
      </c>
      <c r="H51">
        <v>5.01</v>
      </c>
      <c r="I51">
        <v>405</v>
      </c>
      <c r="J51">
        <f>G51/E51*2.645</f>
        <v>5.965451092563069</v>
      </c>
      <c r="K51">
        <f>J51*2</f>
        <v>11.930902185126138</v>
      </c>
      <c r="L51">
        <f t="shared" si="7"/>
        <v>2.2553690331051301</v>
      </c>
      <c r="M51">
        <f t="shared" si="2"/>
        <v>2</v>
      </c>
      <c r="N51" s="1" t="s">
        <v>31</v>
      </c>
      <c r="P51" t="s">
        <v>28</v>
      </c>
    </row>
    <row r="52" spans="1:16" x14ac:dyDescent="0.2">
      <c r="A52" t="s">
        <v>0</v>
      </c>
      <c r="B52">
        <v>1</v>
      </c>
      <c r="C52" t="s">
        <v>30</v>
      </c>
      <c r="D52">
        <v>1</v>
      </c>
      <c r="E52">
        <v>110.41</v>
      </c>
      <c r="F52">
        <v>8.41</v>
      </c>
      <c r="G52">
        <v>373.07</v>
      </c>
      <c r="H52">
        <v>5.29</v>
      </c>
      <c r="I52">
        <v>405</v>
      </c>
      <c r="J52">
        <f t="shared" si="5"/>
        <v>8.9373258762793224</v>
      </c>
      <c r="K52">
        <f t="shared" si="6"/>
        <v>17.874651752558645</v>
      </c>
      <c r="L52">
        <f t="shared" si="7"/>
        <v>3.3789511819581559</v>
      </c>
      <c r="M52">
        <f t="shared" si="2"/>
        <v>2</v>
      </c>
      <c r="N52" s="1" t="s">
        <v>34</v>
      </c>
      <c r="P52" t="s">
        <v>33</v>
      </c>
    </row>
    <row r="53" spans="1:16" x14ac:dyDescent="0.2">
      <c r="A53" t="s">
        <v>0</v>
      </c>
      <c r="B53">
        <v>1</v>
      </c>
      <c r="C53" t="s">
        <v>30</v>
      </c>
      <c r="D53">
        <v>1</v>
      </c>
      <c r="E53">
        <v>111.24</v>
      </c>
      <c r="F53">
        <v>6.64</v>
      </c>
      <c r="G53">
        <v>375.1</v>
      </c>
      <c r="H53">
        <v>4.5199999999999996</v>
      </c>
      <c r="I53">
        <v>340</v>
      </c>
      <c r="J53">
        <f t="shared" si="5"/>
        <v>8.9189095649047108</v>
      </c>
      <c r="K53">
        <f t="shared" si="6"/>
        <v>17.837819129809422</v>
      </c>
      <c r="L53">
        <f t="shared" si="7"/>
        <v>3.3719884933477169</v>
      </c>
      <c r="M53">
        <f t="shared" si="2"/>
        <v>2</v>
      </c>
      <c r="N53" s="1" t="s">
        <v>34</v>
      </c>
      <c r="P53" t="s">
        <v>33</v>
      </c>
    </row>
    <row r="54" spans="1:16" x14ac:dyDescent="0.2">
      <c r="A54" t="s">
        <v>0</v>
      </c>
      <c r="B54">
        <v>1</v>
      </c>
      <c r="C54" t="s">
        <v>30</v>
      </c>
      <c r="D54">
        <v>1</v>
      </c>
      <c r="E54">
        <v>107.13</v>
      </c>
      <c r="F54">
        <v>8.1199999999999992</v>
      </c>
      <c r="G54">
        <v>364.3</v>
      </c>
      <c r="H54">
        <v>4.8600000000000003</v>
      </c>
      <c r="I54">
        <v>340</v>
      </c>
      <c r="J54">
        <f t="shared" si="5"/>
        <v>8.9944319985064887</v>
      </c>
      <c r="K54">
        <f t="shared" si="6"/>
        <v>17.988863997012977</v>
      </c>
      <c r="L54">
        <f t="shared" si="7"/>
        <v>3.4005413983011299</v>
      </c>
      <c r="M54">
        <f t="shared" si="2"/>
        <v>2</v>
      </c>
      <c r="N54" s="1" t="s">
        <v>34</v>
      </c>
      <c r="P54" t="s">
        <v>33</v>
      </c>
    </row>
    <row r="55" spans="1:16" x14ac:dyDescent="0.2">
      <c r="A55" t="s">
        <v>0</v>
      </c>
      <c r="B55">
        <v>1</v>
      </c>
      <c r="C55" t="s">
        <v>30</v>
      </c>
      <c r="D55">
        <v>1</v>
      </c>
      <c r="E55">
        <v>104.97</v>
      </c>
      <c r="F55">
        <v>10.35</v>
      </c>
      <c r="G55">
        <v>361.04</v>
      </c>
      <c r="H55">
        <v>5.88</v>
      </c>
      <c r="I55">
        <v>340</v>
      </c>
      <c r="J55">
        <f t="shared" si="5"/>
        <v>9.0973687720301051</v>
      </c>
      <c r="K55">
        <f t="shared" si="6"/>
        <v>18.19473754406021</v>
      </c>
      <c r="L55">
        <f t="shared" si="7"/>
        <v>3.4394588930170529</v>
      </c>
      <c r="M55">
        <f t="shared" si="2"/>
        <v>2</v>
      </c>
      <c r="N55" s="1" t="s">
        <v>34</v>
      </c>
      <c r="O55" t="s">
        <v>26</v>
      </c>
      <c r="P55" t="s">
        <v>33</v>
      </c>
    </row>
    <row r="56" spans="1:16" x14ac:dyDescent="0.2">
      <c r="A56" t="s">
        <v>2</v>
      </c>
      <c r="B56">
        <v>1</v>
      </c>
      <c r="C56" t="s">
        <v>30</v>
      </c>
      <c r="D56">
        <v>1</v>
      </c>
      <c r="E56">
        <v>101.97</v>
      </c>
      <c r="F56">
        <v>8.91</v>
      </c>
      <c r="G56">
        <v>205.64</v>
      </c>
      <c r="H56">
        <v>6.56</v>
      </c>
      <c r="I56">
        <v>340</v>
      </c>
      <c r="J56">
        <f t="shared" si="5"/>
        <v>5.3340963028341664</v>
      </c>
      <c r="K56">
        <f t="shared" si="6"/>
        <v>10.668192605668333</v>
      </c>
      <c r="L56">
        <f t="shared" si="7"/>
        <v>2.016671570069628</v>
      </c>
      <c r="M56">
        <f t="shared" si="2"/>
        <v>2</v>
      </c>
      <c r="N56" s="1" t="s">
        <v>34</v>
      </c>
      <c r="O56" t="s">
        <v>32</v>
      </c>
      <c r="P56" t="s">
        <v>33</v>
      </c>
    </row>
    <row r="57" spans="1:16" x14ac:dyDescent="0.2">
      <c r="A57" t="s">
        <v>2</v>
      </c>
      <c r="B57">
        <v>1</v>
      </c>
      <c r="C57" t="s">
        <v>30</v>
      </c>
      <c r="D57">
        <v>1</v>
      </c>
      <c r="E57">
        <v>100.74</v>
      </c>
      <c r="F57">
        <v>10.16</v>
      </c>
      <c r="G57">
        <v>205.58</v>
      </c>
      <c r="H57">
        <v>6.48</v>
      </c>
      <c r="I57">
        <v>340</v>
      </c>
      <c r="J57">
        <f t="shared" si="5"/>
        <v>5.3976484018264852</v>
      </c>
      <c r="K57">
        <f t="shared" si="6"/>
        <v>10.79529680365297</v>
      </c>
      <c r="L57">
        <f t="shared" si="7"/>
        <v>2.0406988286678582</v>
      </c>
      <c r="M57">
        <f t="shared" si="2"/>
        <v>2</v>
      </c>
      <c r="N57" s="1" t="s">
        <v>34</v>
      </c>
      <c r="P57" t="s">
        <v>33</v>
      </c>
    </row>
    <row r="58" spans="1:16" x14ac:dyDescent="0.2">
      <c r="A58" t="s">
        <v>2</v>
      </c>
      <c r="B58">
        <v>2</v>
      </c>
      <c r="C58" t="s">
        <v>30</v>
      </c>
      <c r="D58">
        <v>1</v>
      </c>
      <c r="E58">
        <v>98.35</v>
      </c>
      <c r="F58">
        <v>9.82</v>
      </c>
      <c r="G58">
        <v>200.64</v>
      </c>
      <c r="H58">
        <v>5.3</v>
      </c>
      <c r="I58">
        <v>340</v>
      </c>
      <c r="J58">
        <f t="shared" si="5"/>
        <v>5.3959613624809357</v>
      </c>
      <c r="K58">
        <f t="shared" si="6"/>
        <v>10.791922724961871</v>
      </c>
      <c r="L58">
        <f t="shared" si="7"/>
        <v>2.0400610066090494</v>
      </c>
      <c r="M58">
        <f t="shared" si="2"/>
        <v>2</v>
      </c>
      <c r="N58" s="1" t="s">
        <v>34</v>
      </c>
      <c r="O58" t="s">
        <v>32</v>
      </c>
      <c r="P58" t="s">
        <v>33</v>
      </c>
    </row>
    <row r="59" spans="1:16" x14ac:dyDescent="0.2">
      <c r="A59" t="s">
        <v>2</v>
      </c>
      <c r="B59">
        <v>2</v>
      </c>
      <c r="C59" t="s">
        <v>30</v>
      </c>
      <c r="D59">
        <v>1</v>
      </c>
      <c r="E59">
        <v>98.19</v>
      </c>
      <c r="F59">
        <v>9.77</v>
      </c>
      <c r="G59">
        <v>201.25</v>
      </c>
      <c r="H59">
        <v>5.26</v>
      </c>
      <c r="I59">
        <v>340</v>
      </c>
      <c r="J59">
        <f t="shared" si="5"/>
        <v>5.4211859659843169</v>
      </c>
      <c r="K59">
        <f t="shared" si="6"/>
        <v>10.842371931968634</v>
      </c>
      <c r="L59">
        <f t="shared" si="7"/>
        <v>2.0495977187086263</v>
      </c>
      <c r="M59">
        <f t="shared" si="2"/>
        <v>2</v>
      </c>
      <c r="N59" s="1" t="s">
        <v>34</v>
      </c>
      <c r="O59" t="s">
        <v>26</v>
      </c>
      <c r="P59" t="s">
        <v>33</v>
      </c>
    </row>
    <row r="60" spans="1:16" x14ac:dyDescent="0.2">
      <c r="A60" t="s">
        <v>2</v>
      </c>
      <c r="B60">
        <v>3</v>
      </c>
      <c r="C60" t="s">
        <v>30</v>
      </c>
      <c r="D60">
        <v>1</v>
      </c>
      <c r="E60">
        <v>102.81</v>
      </c>
      <c r="F60">
        <v>8.1999999999999993</v>
      </c>
      <c r="G60">
        <v>207.62</v>
      </c>
      <c r="H60">
        <v>4.96</v>
      </c>
      <c r="I60">
        <v>342</v>
      </c>
      <c r="J60">
        <f t="shared" si="5"/>
        <v>5.3414541387024608</v>
      </c>
      <c r="K60">
        <f t="shared" si="6"/>
        <v>10.682908277404922</v>
      </c>
      <c r="L60">
        <f t="shared" si="7"/>
        <v>2.019453360568038</v>
      </c>
      <c r="M60">
        <f t="shared" si="2"/>
        <v>2</v>
      </c>
      <c r="N60" s="1" t="s">
        <v>34</v>
      </c>
      <c r="O60" t="s">
        <v>26</v>
      </c>
      <c r="P60" t="s">
        <v>33</v>
      </c>
    </row>
    <row r="61" spans="1:16" x14ac:dyDescent="0.2">
      <c r="A61" t="s">
        <v>2</v>
      </c>
      <c r="B61">
        <v>3</v>
      </c>
      <c r="C61" t="s">
        <v>30</v>
      </c>
      <c r="D61">
        <v>1</v>
      </c>
      <c r="E61">
        <v>102.43</v>
      </c>
      <c r="F61">
        <v>8.7799999999999994</v>
      </c>
      <c r="G61">
        <v>206.8</v>
      </c>
      <c r="H61">
        <v>5.42</v>
      </c>
      <c r="I61">
        <v>342</v>
      </c>
      <c r="J61">
        <f t="shared" si="5"/>
        <v>5.3400956750951867</v>
      </c>
      <c r="K61">
        <f t="shared" si="6"/>
        <v>10.680191350190373</v>
      </c>
      <c r="L61">
        <f t="shared" si="7"/>
        <v>2.0189397637410913</v>
      </c>
      <c r="M61">
        <f t="shared" si="2"/>
        <v>2</v>
      </c>
      <c r="N61" s="1" t="s">
        <v>34</v>
      </c>
      <c r="O61" t="s">
        <v>32</v>
      </c>
      <c r="P61" t="s">
        <v>33</v>
      </c>
    </row>
    <row r="62" spans="1:16" x14ac:dyDescent="0.2">
      <c r="A62" t="s">
        <v>4</v>
      </c>
      <c r="B62">
        <v>1</v>
      </c>
      <c r="C62" t="s">
        <v>30</v>
      </c>
      <c r="D62">
        <v>1</v>
      </c>
      <c r="E62">
        <v>101.76</v>
      </c>
      <c r="F62">
        <v>8.74</v>
      </c>
      <c r="G62">
        <v>270.07</v>
      </c>
      <c r="H62">
        <v>5.35</v>
      </c>
      <c r="I62">
        <v>340</v>
      </c>
      <c r="J62">
        <f t="shared" si="5"/>
        <v>7.019802967767296</v>
      </c>
      <c r="K62">
        <f t="shared" si="6"/>
        <v>14.039605935534592</v>
      </c>
      <c r="L62">
        <f t="shared" si="7"/>
        <v>2.6539897798742138</v>
      </c>
      <c r="M62">
        <f t="shared" si="2"/>
        <v>2</v>
      </c>
      <c r="N62" s="1" t="s">
        <v>34</v>
      </c>
      <c r="O62" t="s">
        <v>32</v>
      </c>
      <c r="P62" t="s">
        <v>33</v>
      </c>
    </row>
    <row r="63" spans="1:16" x14ac:dyDescent="0.2">
      <c r="A63" t="s">
        <v>4</v>
      </c>
      <c r="B63">
        <v>1</v>
      </c>
      <c r="C63" t="s">
        <v>30</v>
      </c>
      <c r="D63">
        <v>1</v>
      </c>
      <c r="E63">
        <v>101.81</v>
      </c>
      <c r="F63">
        <v>8.0399999999999991</v>
      </c>
      <c r="G63">
        <v>270.75</v>
      </c>
      <c r="H63">
        <v>5.52</v>
      </c>
      <c r="I63">
        <v>340</v>
      </c>
      <c r="J63">
        <f t="shared" si="5"/>
        <v>7.0340217071014637</v>
      </c>
      <c r="K63">
        <f t="shared" si="6"/>
        <v>14.068043414202927</v>
      </c>
      <c r="L63">
        <f t="shared" si="7"/>
        <v>2.6593654847264512</v>
      </c>
      <c r="M63">
        <f t="shared" si="2"/>
        <v>2</v>
      </c>
      <c r="N63" s="1" t="s">
        <v>34</v>
      </c>
      <c r="O63" t="s">
        <v>26</v>
      </c>
      <c r="P63" t="s">
        <v>33</v>
      </c>
    </row>
    <row r="64" spans="1:16" x14ac:dyDescent="0.2">
      <c r="A64" t="s">
        <v>4</v>
      </c>
      <c r="B64">
        <v>2</v>
      </c>
      <c r="C64" t="s">
        <v>30</v>
      </c>
      <c r="D64">
        <v>1</v>
      </c>
      <c r="E64">
        <v>100.27</v>
      </c>
      <c r="F64">
        <v>10.56</v>
      </c>
      <c r="G64">
        <v>275.35000000000002</v>
      </c>
      <c r="H64">
        <v>5.1100000000000003</v>
      </c>
      <c r="I64">
        <v>340</v>
      </c>
      <c r="J64">
        <f t="shared" si="5"/>
        <v>7.2633963299092459</v>
      </c>
      <c r="K64">
        <f t="shared" si="6"/>
        <v>14.526792659818492</v>
      </c>
      <c r="L64">
        <f t="shared" si="7"/>
        <v>2.7460855689637982</v>
      </c>
      <c r="M64">
        <f t="shared" si="2"/>
        <v>2</v>
      </c>
      <c r="N64" s="1" t="s">
        <v>34</v>
      </c>
      <c r="O64" t="s">
        <v>32</v>
      </c>
      <c r="P64" t="s">
        <v>33</v>
      </c>
    </row>
    <row r="65" spans="1:16" x14ac:dyDescent="0.2">
      <c r="A65" t="s">
        <v>4</v>
      </c>
      <c r="B65">
        <v>2</v>
      </c>
      <c r="C65" t="s">
        <v>30</v>
      </c>
      <c r="D65">
        <v>1</v>
      </c>
      <c r="E65">
        <v>102.74</v>
      </c>
      <c r="F65">
        <v>7.68</v>
      </c>
      <c r="G65">
        <v>275.95999999999998</v>
      </c>
      <c r="H65">
        <v>4.82</v>
      </c>
      <c r="I65">
        <v>340</v>
      </c>
      <c r="J65">
        <f t="shared" si="5"/>
        <v>7.1044792680552842</v>
      </c>
      <c r="K65">
        <f t="shared" si="6"/>
        <v>14.208958536110568</v>
      </c>
      <c r="L65">
        <f t="shared" si="7"/>
        <v>2.6860035039906558</v>
      </c>
      <c r="M65">
        <f t="shared" si="2"/>
        <v>2</v>
      </c>
      <c r="N65" s="1" t="s">
        <v>36</v>
      </c>
      <c r="O65" t="s">
        <v>26</v>
      </c>
      <c r="P65" t="s">
        <v>33</v>
      </c>
    </row>
    <row r="66" spans="1:16" x14ac:dyDescent="0.2">
      <c r="A66" t="s">
        <v>4</v>
      </c>
      <c r="B66">
        <v>3</v>
      </c>
      <c r="C66" t="s">
        <v>30</v>
      </c>
      <c r="D66">
        <v>1</v>
      </c>
      <c r="E66">
        <v>115.5</v>
      </c>
      <c r="F66">
        <v>8.0399999999999991</v>
      </c>
      <c r="G66">
        <v>308.94</v>
      </c>
      <c r="H66">
        <v>5.28</v>
      </c>
      <c r="I66">
        <v>345</v>
      </c>
      <c r="J66">
        <f t="shared" si="5"/>
        <v>7.0748597402597397</v>
      </c>
      <c r="K66">
        <f t="shared" si="6"/>
        <v>14.149719480519479</v>
      </c>
      <c r="L66">
        <f t="shared" si="7"/>
        <v>2.6748051948051947</v>
      </c>
      <c r="M66">
        <f t="shared" si="2"/>
        <v>2</v>
      </c>
      <c r="N66" s="1" t="s">
        <v>36</v>
      </c>
      <c r="O66" t="s">
        <v>32</v>
      </c>
      <c r="P66" t="s">
        <v>33</v>
      </c>
    </row>
    <row r="67" spans="1:16" x14ac:dyDescent="0.2">
      <c r="A67" t="s">
        <v>4</v>
      </c>
      <c r="B67">
        <v>3</v>
      </c>
      <c r="C67" t="s">
        <v>30</v>
      </c>
      <c r="D67">
        <v>1</v>
      </c>
      <c r="E67">
        <v>115.37</v>
      </c>
      <c r="F67">
        <v>8.7100000000000009</v>
      </c>
      <c r="G67">
        <v>308.17</v>
      </c>
      <c r="H67">
        <v>5.69</v>
      </c>
      <c r="I67">
        <v>345</v>
      </c>
      <c r="J67">
        <f t="shared" si="5"/>
        <v>7.0651785559504203</v>
      </c>
      <c r="K67">
        <f t="shared" si="6"/>
        <v>14.130357111900841</v>
      </c>
      <c r="L67">
        <f t="shared" si="7"/>
        <v>2.6711450117014821</v>
      </c>
      <c r="M67">
        <f t="shared" si="2"/>
        <v>2</v>
      </c>
      <c r="N67" s="1" t="s">
        <v>36</v>
      </c>
      <c r="O67" t="s">
        <v>26</v>
      </c>
      <c r="P67" t="s">
        <v>33</v>
      </c>
    </row>
    <row r="68" spans="1:16" x14ac:dyDescent="0.2">
      <c r="A68" t="s">
        <v>5</v>
      </c>
      <c r="B68">
        <v>1</v>
      </c>
      <c r="C68" t="s">
        <v>30</v>
      </c>
      <c r="D68">
        <v>1</v>
      </c>
      <c r="E68">
        <v>115.46</v>
      </c>
      <c r="F68">
        <v>7.99</v>
      </c>
      <c r="G68">
        <v>245.49</v>
      </c>
      <c r="H68">
        <v>4.5</v>
      </c>
      <c r="I68">
        <v>345</v>
      </c>
      <c r="J68">
        <f t="shared" si="5"/>
        <v>5.6237749003984074</v>
      </c>
      <c r="K68">
        <f t="shared" si="6"/>
        <v>11.247549800796815</v>
      </c>
      <c r="L68">
        <f t="shared" si="7"/>
        <v>2.1261908886194356</v>
      </c>
      <c r="M68">
        <f t="shared" si="2"/>
        <v>2</v>
      </c>
      <c r="N68" s="1" t="s">
        <v>36</v>
      </c>
      <c r="P68" t="s">
        <v>33</v>
      </c>
    </row>
    <row r="69" spans="1:16" x14ac:dyDescent="0.2">
      <c r="A69" t="s">
        <v>5</v>
      </c>
      <c r="B69">
        <v>1</v>
      </c>
      <c r="C69" t="s">
        <v>30</v>
      </c>
      <c r="D69">
        <v>1</v>
      </c>
      <c r="E69">
        <v>113.08</v>
      </c>
      <c r="F69">
        <v>10.9</v>
      </c>
      <c r="G69">
        <v>244.45</v>
      </c>
      <c r="H69">
        <v>5.96</v>
      </c>
      <c r="I69">
        <v>345</v>
      </c>
      <c r="J69">
        <f t="shared" si="5"/>
        <v>5.717812610541209</v>
      </c>
      <c r="K69">
        <f t="shared" si="6"/>
        <v>11.435625221082418</v>
      </c>
      <c r="L69">
        <f t="shared" si="7"/>
        <v>2.1617438981252208</v>
      </c>
      <c r="M69">
        <f t="shared" si="2"/>
        <v>2</v>
      </c>
      <c r="N69" s="1" t="s">
        <v>36</v>
      </c>
      <c r="P69" t="s">
        <v>33</v>
      </c>
    </row>
    <row r="70" spans="1:16" x14ac:dyDescent="0.2">
      <c r="A70" t="s">
        <v>5</v>
      </c>
      <c r="B70">
        <v>2</v>
      </c>
      <c r="C70" t="s">
        <v>30</v>
      </c>
      <c r="D70">
        <v>1</v>
      </c>
      <c r="E70">
        <v>114.07</v>
      </c>
      <c r="F70">
        <v>9.15</v>
      </c>
      <c r="G70">
        <v>245.04</v>
      </c>
      <c r="H70">
        <v>5.71</v>
      </c>
      <c r="I70">
        <v>345</v>
      </c>
      <c r="J70">
        <f t="shared" si="5"/>
        <v>5.6818690277899542</v>
      </c>
      <c r="K70">
        <f t="shared" si="6"/>
        <v>11.363738055579908</v>
      </c>
      <c r="L70">
        <f t="shared" si="7"/>
        <v>2.1481546418865611</v>
      </c>
      <c r="M70">
        <f t="shared" si="2"/>
        <v>2</v>
      </c>
      <c r="N70" s="1" t="s">
        <v>36</v>
      </c>
      <c r="P70" t="s">
        <v>33</v>
      </c>
    </row>
    <row r="71" spans="1:16" x14ac:dyDescent="0.2">
      <c r="A71" t="s">
        <v>5</v>
      </c>
      <c r="B71">
        <v>2</v>
      </c>
      <c r="C71" t="s">
        <v>30</v>
      </c>
      <c r="D71">
        <v>1</v>
      </c>
      <c r="E71">
        <v>116.06</v>
      </c>
      <c r="F71">
        <v>7.65</v>
      </c>
      <c r="G71">
        <v>244.46</v>
      </c>
      <c r="H71">
        <v>5.63</v>
      </c>
      <c r="I71">
        <v>345</v>
      </c>
      <c r="J71">
        <f t="shared" si="5"/>
        <v>5.5712278132000694</v>
      </c>
      <c r="K71">
        <f t="shared" si="6"/>
        <v>11.142455626400139</v>
      </c>
      <c r="L71">
        <f t="shared" si="7"/>
        <v>2.1063243150094779</v>
      </c>
      <c r="M71">
        <f t="shared" si="2"/>
        <v>2</v>
      </c>
      <c r="N71" s="1" t="s">
        <v>36</v>
      </c>
      <c r="O71" t="s">
        <v>32</v>
      </c>
      <c r="P71" t="s">
        <v>33</v>
      </c>
    </row>
    <row r="72" spans="1:16" x14ac:dyDescent="0.2">
      <c r="A72" t="s">
        <v>5</v>
      </c>
      <c r="B72">
        <v>3</v>
      </c>
      <c r="C72" t="s">
        <v>30</v>
      </c>
      <c r="D72">
        <v>1</v>
      </c>
      <c r="E72">
        <v>116.89</v>
      </c>
      <c r="F72">
        <v>7.6</v>
      </c>
      <c r="G72">
        <v>246.04</v>
      </c>
      <c r="H72">
        <v>5.6</v>
      </c>
      <c r="I72">
        <v>345</v>
      </c>
      <c r="J72">
        <f t="shared" si="5"/>
        <v>5.5674206518949436</v>
      </c>
      <c r="K72">
        <f t="shared" si="6"/>
        <v>11.134841303789887</v>
      </c>
      <c r="L72">
        <f t="shared" si="7"/>
        <v>2.1048849345538541</v>
      </c>
      <c r="M72">
        <f t="shared" si="2"/>
        <v>2</v>
      </c>
      <c r="N72" s="1" t="s">
        <v>36</v>
      </c>
      <c r="O72" t="s">
        <v>26</v>
      </c>
      <c r="P72" t="s">
        <v>33</v>
      </c>
    </row>
    <row r="73" spans="1:16" x14ac:dyDescent="0.2">
      <c r="A73" t="s">
        <v>5</v>
      </c>
      <c r="B73">
        <v>3</v>
      </c>
      <c r="C73" t="s">
        <v>30</v>
      </c>
      <c r="D73">
        <v>1</v>
      </c>
      <c r="E73">
        <v>114.56</v>
      </c>
      <c r="F73">
        <v>8.8800000000000008</v>
      </c>
      <c r="G73">
        <v>244.12</v>
      </c>
      <c r="H73">
        <v>6.13</v>
      </c>
      <c r="I73">
        <v>345</v>
      </c>
      <c r="J73">
        <f t="shared" si="5"/>
        <v>5.6363250698324023</v>
      </c>
      <c r="K73">
        <f t="shared" si="6"/>
        <v>11.272650139664805</v>
      </c>
      <c r="L73">
        <f t="shared" si="7"/>
        <v>2.1309357541899443</v>
      </c>
      <c r="M73">
        <f t="shared" si="2"/>
        <v>2</v>
      </c>
      <c r="N73" s="1" t="s">
        <v>36</v>
      </c>
      <c r="O73" t="s">
        <v>32</v>
      </c>
      <c r="P73" t="s">
        <v>33</v>
      </c>
    </row>
    <row r="74" spans="1:16" x14ac:dyDescent="0.2">
      <c r="A74" t="s">
        <v>7</v>
      </c>
      <c r="B74">
        <v>1</v>
      </c>
      <c r="C74" t="s">
        <v>30</v>
      </c>
      <c r="D74">
        <v>1</v>
      </c>
      <c r="E74">
        <v>130.6</v>
      </c>
      <c r="F74">
        <v>11.24</v>
      </c>
      <c r="G74">
        <v>264.77999999999997</v>
      </c>
      <c r="H74">
        <v>5.82</v>
      </c>
      <c r="I74">
        <v>350</v>
      </c>
      <c r="J74">
        <f t="shared" si="5"/>
        <v>5.3625045941807041</v>
      </c>
      <c r="K74">
        <f t="shared" si="6"/>
        <v>10.725009188361408</v>
      </c>
      <c r="L74">
        <f t="shared" si="7"/>
        <v>2.0274119448698316</v>
      </c>
      <c r="M74">
        <f t="shared" si="2"/>
        <v>2</v>
      </c>
      <c r="N74" s="1" t="s">
        <v>36</v>
      </c>
      <c r="O74" t="s">
        <v>26</v>
      </c>
      <c r="P74" t="s">
        <v>33</v>
      </c>
    </row>
    <row r="75" spans="1:16" x14ac:dyDescent="0.2">
      <c r="A75" t="s">
        <v>7</v>
      </c>
      <c r="B75">
        <v>2</v>
      </c>
      <c r="C75" t="s">
        <v>30</v>
      </c>
      <c r="D75">
        <v>1</v>
      </c>
      <c r="E75">
        <v>107.6</v>
      </c>
      <c r="F75">
        <v>7.9</v>
      </c>
      <c r="G75">
        <v>213.98</v>
      </c>
      <c r="H75">
        <v>5.29</v>
      </c>
      <c r="I75">
        <v>340</v>
      </c>
      <c r="J75">
        <f t="shared" si="5"/>
        <v>5.2600102230483268</v>
      </c>
      <c r="K75">
        <f t="shared" si="6"/>
        <v>10.520020446096654</v>
      </c>
      <c r="L75">
        <f t="shared" si="7"/>
        <v>1.9886617100371746</v>
      </c>
      <c r="M75">
        <f t="shared" si="2"/>
        <v>2</v>
      </c>
      <c r="N75" s="1" t="s">
        <v>36</v>
      </c>
      <c r="O75" t="s">
        <v>26</v>
      </c>
      <c r="P75" t="s">
        <v>33</v>
      </c>
    </row>
    <row r="76" spans="1:16" x14ac:dyDescent="0.2">
      <c r="A76" t="s">
        <v>7</v>
      </c>
      <c r="B76">
        <v>2</v>
      </c>
      <c r="C76" t="s">
        <v>30</v>
      </c>
      <c r="D76">
        <v>1</v>
      </c>
      <c r="E76">
        <v>108.41</v>
      </c>
      <c r="F76">
        <v>10.33</v>
      </c>
      <c r="G76">
        <v>213.63</v>
      </c>
      <c r="H76">
        <v>5.67</v>
      </c>
      <c r="I76">
        <v>340</v>
      </c>
      <c r="J76">
        <f t="shared" si="5"/>
        <v>5.2121700027672722</v>
      </c>
      <c r="K76">
        <f t="shared" si="6"/>
        <v>10.424340005534544</v>
      </c>
      <c r="L76">
        <f t="shared" si="7"/>
        <v>1.9705746702333733</v>
      </c>
      <c r="M76">
        <f t="shared" si="2"/>
        <v>2</v>
      </c>
      <c r="N76" s="1" t="s">
        <v>36</v>
      </c>
      <c r="O76" t="s">
        <v>32</v>
      </c>
      <c r="P76" t="s">
        <v>33</v>
      </c>
    </row>
    <row r="77" spans="1:16" x14ac:dyDescent="0.2">
      <c r="A77" t="s">
        <v>7</v>
      </c>
      <c r="B77">
        <v>3</v>
      </c>
      <c r="C77" t="s">
        <v>30</v>
      </c>
      <c r="D77">
        <v>1</v>
      </c>
      <c r="E77">
        <v>130.19</v>
      </c>
      <c r="F77">
        <v>12.17</v>
      </c>
      <c r="G77">
        <v>265.44</v>
      </c>
      <c r="H77">
        <v>5.9</v>
      </c>
      <c r="I77">
        <v>350</v>
      </c>
      <c r="J77">
        <f t="shared" si="5"/>
        <v>5.3928012904216907</v>
      </c>
      <c r="K77">
        <f t="shared" si="6"/>
        <v>10.785602580843381</v>
      </c>
      <c r="L77">
        <f t="shared" si="7"/>
        <v>2.0388662723711497</v>
      </c>
      <c r="M77">
        <f t="shared" si="2"/>
        <v>2</v>
      </c>
      <c r="N77" s="1" t="s">
        <v>36</v>
      </c>
      <c r="O77" t="s">
        <v>32</v>
      </c>
      <c r="P77" t="s">
        <v>33</v>
      </c>
    </row>
    <row r="78" spans="1:16" x14ac:dyDescent="0.2">
      <c r="A78" t="s">
        <v>7</v>
      </c>
      <c r="B78">
        <v>3</v>
      </c>
      <c r="C78" t="s">
        <v>30</v>
      </c>
      <c r="D78">
        <v>1</v>
      </c>
      <c r="E78">
        <v>133.86000000000001</v>
      </c>
      <c r="F78">
        <v>8.77</v>
      </c>
      <c r="G78">
        <v>265.51</v>
      </c>
      <c r="H78">
        <v>5.46</v>
      </c>
      <c r="I78">
        <v>350</v>
      </c>
      <c r="J78">
        <f t="shared" si="5"/>
        <v>5.2463316151202743</v>
      </c>
      <c r="K78">
        <f t="shared" si="6"/>
        <v>10.492663230240549</v>
      </c>
      <c r="L78">
        <f t="shared" si="7"/>
        <v>1.9834902136560584</v>
      </c>
      <c r="M78">
        <f t="shared" si="2"/>
        <v>2</v>
      </c>
      <c r="N78" s="1" t="s">
        <v>36</v>
      </c>
      <c r="O78" t="s">
        <v>26</v>
      </c>
      <c r="P78" t="s">
        <v>33</v>
      </c>
    </row>
    <row r="79" spans="1:16" x14ac:dyDescent="0.2">
      <c r="A79" t="s">
        <v>8</v>
      </c>
      <c r="B79">
        <v>1</v>
      </c>
      <c r="C79" t="s">
        <v>30</v>
      </c>
      <c r="D79">
        <v>1</v>
      </c>
      <c r="E79">
        <v>99.77</v>
      </c>
      <c r="F79">
        <v>7.7</v>
      </c>
      <c r="G79">
        <v>235.58</v>
      </c>
      <c r="H79">
        <v>6.26</v>
      </c>
      <c r="I79">
        <v>340</v>
      </c>
      <c r="J79">
        <f t="shared" si="5"/>
        <v>6.2454555477598488</v>
      </c>
      <c r="K79">
        <f t="shared" si="6"/>
        <v>12.490911095519698</v>
      </c>
      <c r="L79">
        <f t="shared" si="7"/>
        <v>2.3612308309110959</v>
      </c>
      <c r="M79">
        <f t="shared" si="2"/>
        <v>2</v>
      </c>
      <c r="N79" s="1" t="s">
        <v>36</v>
      </c>
      <c r="O79" t="s">
        <v>26</v>
      </c>
      <c r="P79" t="s">
        <v>33</v>
      </c>
    </row>
    <row r="80" spans="1:16" x14ac:dyDescent="0.2">
      <c r="A80" t="s">
        <v>8</v>
      </c>
      <c r="B80">
        <v>1</v>
      </c>
      <c r="C80" t="s">
        <v>30</v>
      </c>
      <c r="D80">
        <v>1</v>
      </c>
      <c r="E80">
        <v>97.15</v>
      </c>
      <c r="F80">
        <v>15.24</v>
      </c>
      <c r="G80">
        <v>228.82</v>
      </c>
      <c r="H80">
        <v>9.7100000000000009</v>
      </c>
      <c r="I80">
        <v>340</v>
      </c>
      <c r="J80">
        <f t="shared" si="5"/>
        <v>6.2298394235717955</v>
      </c>
      <c r="K80">
        <f t="shared" si="6"/>
        <v>12.459678847143591</v>
      </c>
      <c r="L80">
        <f t="shared" si="7"/>
        <v>2.3553268142048376</v>
      </c>
      <c r="M80">
        <f t="shared" si="2"/>
        <v>2</v>
      </c>
      <c r="N80" s="1" t="s">
        <v>36</v>
      </c>
      <c r="O80" t="s">
        <v>32</v>
      </c>
      <c r="P80" t="s">
        <v>33</v>
      </c>
    </row>
    <row r="81" spans="1:16" x14ac:dyDescent="0.2">
      <c r="A81" t="s">
        <v>8</v>
      </c>
      <c r="B81">
        <v>2</v>
      </c>
      <c r="C81" t="s">
        <v>30</v>
      </c>
      <c r="D81">
        <v>1</v>
      </c>
      <c r="E81">
        <v>103.09</v>
      </c>
      <c r="F81">
        <v>14.36</v>
      </c>
      <c r="G81">
        <v>246.31</v>
      </c>
      <c r="H81">
        <v>9.68</v>
      </c>
      <c r="I81">
        <v>345</v>
      </c>
      <c r="J81">
        <f t="shared" si="5"/>
        <v>6.3196231448249103</v>
      </c>
      <c r="K81">
        <f t="shared" si="6"/>
        <v>12.639246289649821</v>
      </c>
      <c r="L81">
        <f t="shared" si="7"/>
        <v>2.3892715103307789</v>
      </c>
      <c r="M81">
        <f t="shared" si="2"/>
        <v>2</v>
      </c>
      <c r="N81" s="1" t="s">
        <v>36</v>
      </c>
      <c r="O81" t="s">
        <v>32</v>
      </c>
      <c r="P81" t="s">
        <v>33</v>
      </c>
    </row>
    <row r="82" spans="1:16" x14ac:dyDescent="0.2">
      <c r="A82" t="s">
        <v>8</v>
      </c>
      <c r="B82">
        <v>2</v>
      </c>
      <c r="C82" t="s">
        <v>30</v>
      </c>
      <c r="D82">
        <v>1</v>
      </c>
      <c r="E82">
        <v>106.81</v>
      </c>
      <c r="F82">
        <v>8.68</v>
      </c>
      <c r="G82">
        <v>248.29</v>
      </c>
      <c r="H82">
        <v>6.71</v>
      </c>
      <c r="I82">
        <v>345</v>
      </c>
      <c r="J82">
        <f t="shared" si="5"/>
        <v>6.1485539743469708</v>
      </c>
      <c r="K82">
        <f t="shared" si="6"/>
        <v>12.297107948693942</v>
      </c>
      <c r="L82">
        <f t="shared" si="7"/>
        <v>2.3245950753674749</v>
      </c>
      <c r="M82">
        <f t="shared" si="2"/>
        <v>2</v>
      </c>
      <c r="N82" s="1" t="s">
        <v>36</v>
      </c>
      <c r="P82" t="s">
        <v>33</v>
      </c>
    </row>
    <row r="83" spans="1:16" x14ac:dyDescent="0.2">
      <c r="A83" t="s">
        <v>8</v>
      </c>
      <c r="B83">
        <v>3</v>
      </c>
      <c r="C83" t="s">
        <v>30</v>
      </c>
      <c r="D83">
        <v>1</v>
      </c>
      <c r="E83">
        <v>120.48</v>
      </c>
      <c r="F83">
        <v>9.68</v>
      </c>
      <c r="G83">
        <v>281.85000000000002</v>
      </c>
      <c r="H83">
        <v>7.39</v>
      </c>
      <c r="I83">
        <v>350</v>
      </c>
      <c r="J83">
        <f t="shared" si="5"/>
        <v>6.1876929780876502</v>
      </c>
      <c r="K83">
        <f t="shared" si="6"/>
        <v>12.3753859561753</v>
      </c>
      <c r="L83">
        <f t="shared" si="7"/>
        <v>2.3393924302788847</v>
      </c>
      <c r="M83">
        <f t="shared" si="2"/>
        <v>2</v>
      </c>
      <c r="N83" s="1" t="s">
        <v>36</v>
      </c>
      <c r="O83" t="s">
        <v>26</v>
      </c>
      <c r="P83" t="s">
        <v>33</v>
      </c>
    </row>
    <row r="84" spans="1:16" x14ac:dyDescent="0.2">
      <c r="A84" t="s">
        <v>8</v>
      </c>
      <c r="B84">
        <v>3</v>
      </c>
      <c r="C84" t="s">
        <v>30</v>
      </c>
      <c r="D84">
        <v>1</v>
      </c>
      <c r="E84">
        <v>120.33</v>
      </c>
      <c r="F84">
        <v>11.2</v>
      </c>
      <c r="G84">
        <v>276.19</v>
      </c>
      <c r="H84">
        <v>7.76</v>
      </c>
      <c r="I84">
        <v>350</v>
      </c>
      <c r="J84">
        <f t="shared" si="5"/>
        <v>6.0709926867780268</v>
      </c>
      <c r="K84">
        <f t="shared" si="6"/>
        <v>12.141985373556054</v>
      </c>
      <c r="L84">
        <f t="shared" si="7"/>
        <v>2.2952713371561537</v>
      </c>
      <c r="M84">
        <f t="shared" si="2"/>
        <v>2</v>
      </c>
      <c r="N84" s="1" t="s">
        <v>36</v>
      </c>
      <c r="O84" t="s">
        <v>32</v>
      </c>
      <c r="P84" t="s">
        <v>33</v>
      </c>
    </row>
    <row r="85" spans="1:16" x14ac:dyDescent="0.2">
      <c r="A85" t="s">
        <v>9</v>
      </c>
      <c r="B85">
        <v>1</v>
      </c>
      <c r="C85" t="s">
        <v>30</v>
      </c>
      <c r="D85">
        <v>1</v>
      </c>
      <c r="E85">
        <v>117.08</v>
      </c>
      <c r="F85">
        <v>12.16</v>
      </c>
      <c r="G85">
        <v>241.56</v>
      </c>
      <c r="H85">
        <v>8.08</v>
      </c>
      <c r="I85">
        <v>350</v>
      </c>
      <c r="J85">
        <f t="shared" si="5"/>
        <v>5.4571762897164335</v>
      </c>
      <c r="K85">
        <f t="shared" si="6"/>
        <v>10.914352579432867</v>
      </c>
      <c r="L85">
        <f t="shared" si="7"/>
        <v>2.0632046463956271</v>
      </c>
      <c r="M85">
        <f t="shared" si="2"/>
        <v>2</v>
      </c>
      <c r="N85" s="1" t="s">
        <v>36</v>
      </c>
      <c r="P85" t="s">
        <v>33</v>
      </c>
    </row>
    <row r="86" spans="1:16" x14ac:dyDescent="0.2">
      <c r="A86" t="s">
        <v>9</v>
      </c>
      <c r="B86">
        <v>1</v>
      </c>
      <c r="C86" t="s">
        <v>30</v>
      </c>
      <c r="D86">
        <v>1</v>
      </c>
      <c r="E86">
        <v>118.29</v>
      </c>
      <c r="F86">
        <v>7.55</v>
      </c>
      <c r="G86">
        <v>242.9</v>
      </c>
      <c r="H86">
        <v>5.68</v>
      </c>
      <c r="I86">
        <v>350</v>
      </c>
      <c r="J86">
        <f t="shared" si="5"/>
        <v>5.4313171020373661</v>
      </c>
      <c r="K86">
        <f t="shared" si="6"/>
        <v>10.862634204074732</v>
      </c>
      <c r="L86">
        <f t="shared" si="7"/>
        <v>2.0534280158931439</v>
      </c>
      <c r="M86">
        <f t="shared" si="2"/>
        <v>2</v>
      </c>
      <c r="N86" s="1" t="s">
        <v>36</v>
      </c>
      <c r="O86" t="s">
        <v>26</v>
      </c>
      <c r="P86" t="s">
        <v>33</v>
      </c>
    </row>
    <row r="87" spans="1:16" x14ac:dyDescent="0.2">
      <c r="A87" t="s">
        <v>9</v>
      </c>
      <c r="B87">
        <v>2</v>
      </c>
      <c r="C87" t="s">
        <v>30</v>
      </c>
      <c r="D87">
        <v>1</v>
      </c>
      <c r="E87">
        <v>117.33</v>
      </c>
      <c r="F87">
        <v>8.31</v>
      </c>
      <c r="G87">
        <v>240.67</v>
      </c>
      <c r="H87">
        <v>5.82</v>
      </c>
      <c r="I87">
        <v>350</v>
      </c>
      <c r="J87">
        <f t="shared" si="5"/>
        <v>5.4254849569590036</v>
      </c>
      <c r="K87">
        <f t="shared" si="6"/>
        <v>10.850969913918007</v>
      </c>
      <c r="L87">
        <f t="shared" si="7"/>
        <v>2.0512230461092642</v>
      </c>
      <c r="M87">
        <f t="shared" si="2"/>
        <v>2</v>
      </c>
      <c r="N87" s="1" t="s">
        <v>36</v>
      </c>
      <c r="O87" t="s">
        <v>26</v>
      </c>
      <c r="P87" t="s">
        <v>33</v>
      </c>
    </row>
    <row r="88" spans="1:16" x14ac:dyDescent="0.2">
      <c r="A88" t="s">
        <v>9</v>
      </c>
      <c r="B88">
        <v>2</v>
      </c>
      <c r="C88" t="s">
        <v>30</v>
      </c>
      <c r="D88">
        <v>1</v>
      </c>
      <c r="E88">
        <v>115.5</v>
      </c>
      <c r="F88">
        <v>12.99</v>
      </c>
      <c r="G88">
        <v>237.82</v>
      </c>
      <c r="H88">
        <v>7.45</v>
      </c>
      <c r="I88">
        <v>350</v>
      </c>
      <c r="J88">
        <f t="shared" si="5"/>
        <v>5.4461809523809519</v>
      </c>
      <c r="K88">
        <f t="shared" si="6"/>
        <v>10.892361904761904</v>
      </c>
      <c r="L88">
        <f t="shared" si="7"/>
        <v>2.059047619047619</v>
      </c>
      <c r="M88">
        <f t="shared" si="2"/>
        <v>2</v>
      </c>
      <c r="N88" s="1" t="s">
        <v>36</v>
      </c>
      <c r="O88" t="s">
        <v>32</v>
      </c>
      <c r="P88" t="s">
        <v>33</v>
      </c>
    </row>
    <row r="89" spans="1:16" x14ac:dyDescent="0.2">
      <c r="A89" t="s">
        <v>9</v>
      </c>
      <c r="B89">
        <v>3</v>
      </c>
      <c r="C89" t="s">
        <v>30</v>
      </c>
      <c r="D89">
        <v>1</v>
      </c>
      <c r="E89">
        <v>115.41</v>
      </c>
      <c r="F89">
        <v>12.67</v>
      </c>
      <c r="G89">
        <v>240.42</v>
      </c>
      <c r="H89">
        <v>7.83</v>
      </c>
      <c r="I89">
        <v>350</v>
      </c>
      <c r="J89">
        <f t="shared" si="5"/>
        <v>5.5100155965687545</v>
      </c>
      <c r="K89">
        <f t="shared" si="6"/>
        <v>11.020031193137509</v>
      </c>
      <c r="L89">
        <f t="shared" si="7"/>
        <v>2.0831817000259942</v>
      </c>
      <c r="M89">
        <f t="shared" si="2"/>
        <v>2</v>
      </c>
      <c r="N89" s="1" t="s">
        <v>36</v>
      </c>
      <c r="P89" t="s">
        <v>33</v>
      </c>
    </row>
    <row r="90" spans="1:16" x14ac:dyDescent="0.2">
      <c r="A90" t="s">
        <v>9</v>
      </c>
      <c r="B90">
        <v>3</v>
      </c>
      <c r="C90" t="s">
        <v>30</v>
      </c>
      <c r="D90">
        <v>1</v>
      </c>
      <c r="E90">
        <v>115.67</v>
      </c>
      <c r="F90">
        <v>9.48</v>
      </c>
      <c r="G90">
        <v>242.41</v>
      </c>
      <c r="H90">
        <v>5.64</v>
      </c>
      <c r="I90">
        <v>350</v>
      </c>
      <c r="J90">
        <f t="shared" si="5"/>
        <v>5.5431352122417223</v>
      </c>
      <c r="K90">
        <f t="shared" si="6"/>
        <v>11.086270424483445</v>
      </c>
      <c r="L90">
        <f t="shared" si="7"/>
        <v>2.095703293853203</v>
      </c>
      <c r="M90">
        <f t="shared" si="2"/>
        <v>2</v>
      </c>
      <c r="N90" s="1" t="s">
        <v>36</v>
      </c>
      <c r="O90" t="s">
        <v>26</v>
      </c>
      <c r="P90" t="s">
        <v>33</v>
      </c>
    </row>
    <row r="91" spans="1:16" x14ac:dyDescent="0.2">
      <c r="A91" t="s">
        <v>10</v>
      </c>
      <c r="B91">
        <v>1</v>
      </c>
      <c r="C91" t="s">
        <v>30</v>
      </c>
      <c r="D91">
        <v>1</v>
      </c>
      <c r="E91">
        <v>123.38</v>
      </c>
      <c r="F91">
        <v>13.37</v>
      </c>
      <c r="G91">
        <v>254.26</v>
      </c>
      <c r="H91">
        <v>7.66</v>
      </c>
      <c r="I91">
        <v>350</v>
      </c>
      <c r="J91">
        <f>G91/E91*2.645</f>
        <v>5.4507837574971632</v>
      </c>
      <c r="K91">
        <f>J91*2</f>
        <v>10.901567514994326</v>
      </c>
      <c r="L91">
        <f t="shared" si="7"/>
        <v>2.060787810017831</v>
      </c>
      <c r="M91">
        <f t="shared" si="2"/>
        <v>2</v>
      </c>
      <c r="N91" s="1" t="s">
        <v>36</v>
      </c>
      <c r="O91" t="s">
        <v>26</v>
      </c>
      <c r="P91" t="s">
        <v>33</v>
      </c>
    </row>
    <row r="92" spans="1:16" x14ac:dyDescent="0.2">
      <c r="A92" t="s">
        <v>10</v>
      </c>
      <c r="B92">
        <v>1</v>
      </c>
      <c r="C92" t="s">
        <v>30</v>
      </c>
      <c r="D92">
        <v>1</v>
      </c>
      <c r="E92">
        <v>127.93</v>
      </c>
      <c r="F92">
        <v>14.89</v>
      </c>
      <c r="G92">
        <v>249.17</v>
      </c>
      <c r="H92">
        <v>10</v>
      </c>
      <c r="I92">
        <v>350</v>
      </c>
      <c r="J92">
        <f t="shared" si="5"/>
        <v>5.1516817790979434</v>
      </c>
      <c r="K92">
        <f t="shared" si="6"/>
        <v>10.303363558195887</v>
      </c>
      <c r="L92">
        <f t="shared" si="7"/>
        <v>1.947705776596576</v>
      </c>
      <c r="M92">
        <f t="shared" si="2"/>
        <v>2</v>
      </c>
      <c r="N92" s="1" t="s">
        <v>36</v>
      </c>
      <c r="P92" t="s">
        <v>33</v>
      </c>
    </row>
    <row r="93" spans="1:16" x14ac:dyDescent="0.2">
      <c r="A93" t="s">
        <v>45</v>
      </c>
      <c r="B93">
        <v>1</v>
      </c>
      <c r="C93" t="s">
        <v>30</v>
      </c>
      <c r="D93">
        <v>1</v>
      </c>
      <c r="E93">
        <v>113.54</v>
      </c>
      <c r="F93">
        <v>16.13</v>
      </c>
      <c r="G93">
        <v>472.95</v>
      </c>
      <c r="H93">
        <v>7.37</v>
      </c>
      <c r="I93">
        <v>350</v>
      </c>
      <c r="J93">
        <f t="shared" si="5"/>
        <v>11.017727232693323</v>
      </c>
      <c r="K93">
        <f t="shared" si="6"/>
        <v>22.035454465386646</v>
      </c>
      <c r="L93">
        <f t="shared" si="7"/>
        <v>4.1654923375022017</v>
      </c>
      <c r="M93">
        <f t="shared" si="2"/>
        <v>2</v>
      </c>
      <c r="N93" s="1" t="s">
        <v>36</v>
      </c>
      <c r="P93" t="s">
        <v>33</v>
      </c>
    </row>
    <row r="94" spans="1:16" x14ac:dyDescent="0.2">
      <c r="A94" t="s">
        <v>45</v>
      </c>
      <c r="B94">
        <v>1</v>
      </c>
      <c r="C94" t="s">
        <v>30</v>
      </c>
      <c r="D94">
        <v>1</v>
      </c>
      <c r="E94">
        <v>119.89</v>
      </c>
      <c r="F94">
        <v>11.24</v>
      </c>
      <c r="G94">
        <v>477.12</v>
      </c>
      <c r="H94">
        <v>7.39</v>
      </c>
      <c r="I94">
        <v>350</v>
      </c>
      <c r="J94">
        <f t="shared" si="5"/>
        <v>10.52616898823922</v>
      </c>
      <c r="K94">
        <f t="shared" si="6"/>
        <v>21.052337976478441</v>
      </c>
      <c r="L94">
        <f t="shared" si="7"/>
        <v>3.9796480106764536</v>
      </c>
      <c r="M94">
        <f t="shared" si="2"/>
        <v>2</v>
      </c>
      <c r="N94" s="1" t="s">
        <v>36</v>
      </c>
      <c r="P94" t="s">
        <v>33</v>
      </c>
    </row>
    <row r="95" spans="1:16" x14ac:dyDescent="0.2">
      <c r="A95" t="s">
        <v>3</v>
      </c>
      <c r="B95">
        <v>1</v>
      </c>
      <c r="C95" t="s">
        <v>30</v>
      </c>
      <c r="D95">
        <v>1</v>
      </c>
      <c r="E95">
        <v>104.67</v>
      </c>
      <c r="F95">
        <v>7.15</v>
      </c>
      <c r="G95">
        <v>204.06</v>
      </c>
      <c r="H95">
        <v>7.79</v>
      </c>
      <c r="I95">
        <v>330</v>
      </c>
      <c r="J95">
        <f t="shared" si="5"/>
        <v>5.1565749498423621</v>
      </c>
      <c r="K95">
        <f t="shared" si="6"/>
        <v>10.313149899684724</v>
      </c>
      <c r="L95">
        <f t="shared" si="7"/>
        <v>1.9495557466322728</v>
      </c>
      <c r="M95">
        <f t="shared" si="2"/>
        <v>2</v>
      </c>
      <c r="N95" s="1" t="s">
        <v>37</v>
      </c>
      <c r="O95" t="s">
        <v>26</v>
      </c>
      <c r="P95" t="s">
        <v>38</v>
      </c>
    </row>
    <row r="96" spans="1:16" x14ac:dyDescent="0.2">
      <c r="A96" t="s">
        <v>3</v>
      </c>
      <c r="B96">
        <v>1</v>
      </c>
      <c r="C96" t="s">
        <v>30</v>
      </c>
      <c r="D96">
        <v>1</v>
      </c>
      <c r="E96">
        <v>103.07</v>
      </c>
      <c r="F96">
        <v>9.42</v>
      </c>
      <c r="G96">
        <v>203.48</v>
      </c>
      <c r="H96">
        <v>5.31</v>
      </c>
      <c r="I96">
        <v>330</v>
      </c>
      <c r="J96">
        <f t="shared" si="5"/>
        <v>5.2217386242359565</v>
      </c>
      <c r="K96">
        <f t="shared" si="6"/>
        <v>10.443477248471913</v>
      </c>
      <c r="L96">
        <f t="shared" si="7"/>
        <v>1.974192296497526</v>
      </c>
      <c r="M96">
        <f t="shared" si="2"/>
        <v>2</v>
      </c>
      <c r="N96" s="1" t="s">
        <v>37</v>
      </c>
      <c r="O96" t="s">
        <v>32</v>
      </c>
      <c r="P96" t="s">
        <v>38</v>
      </c>
    </row>
    <row r="97" spans="1:16" x14ac:dyDescent="0.2">
      <c r="A97" t="s">
        <v>3</v>
      </c>
      <c r="B97">
        <v>2</v>
      </c>
      <c r="C97" t="s">
        <v>30</v>
      </c>
      <c r="D97">
        <v>1</v>
      </c>
      <c r="E97">
        <v>129.75</v>
      </c>
      <c r="F97">
        <v>8.49</v>
      </c>
      <c r="G97">
        <v>251.77</v>
      </c>
      <c r="H97">
        <v>5.47</v>
      </c>
      <c r="I97">
        <v>340</v>
      </c>
      <c r="J97">
        <f t="shared" si="5"/>
        <v>5.1324211946050102</v>
      </c>
      <c r="K97">
        <f t="shared" si="6"/>
        <v>10.26484238921002</v>
      </c>
      <c r="L97">
        <f t="shared" si="7"/>
        <v>1.9404238921001928</v>
      </c>
      <c r="M97">
        <f t="shared" si="2"/>
        <v>2</v>
      </c>
      <c r="N97" s="1" t="s">
        <v>37</v>
      </c>
      <c r="O97" t="s">
        <v>32</v>
      </c>
      <c r="P97" t="s">
        <v>38</v>
      </c>
    </row>
    <row r="98" spans="1:16" x14ac:dyDescent="0.2">
      <c r="A98" t="s">
        <v>3</v>
      </c>
      <c r="B98">
        <v>2</v>
      </c>
      <c r="C98" t="s">
        <v>30</v>
      </c>
      <c r="D98">
        <v>1</v>
      </c>
      <c r="E98">
        <v>131.44999999999999</v>
      </c>
      <c r="F98">
        <v>6.31</v>
      </c>
      <c r="G98">
        <v>251.8</v>
      </c>
      <c r="H98">
        <v>5.18</v>
      </c>
      <c r="I98">
        <v>340</v>
      </c>
      <c r="J98">
        <f t="shared" si="5"/>
        <v>5.0666489159376198</v>
      </c>
      <c r="K98">
        <f t="shared" si="6"/>
        <v>10.13329783187524</v>
      </c>
      <c r="L98">
        <f t="shared" si="7"/>
        <v>1.9155572461011794</v>
      </c>
      <c r="M98">
        <f t="shared" si="2"/>
        <v>2</v>
      </c>
      <c r="N98" s="1" t="s">
        <v>37</v>
      </c>
      <c r="O98" t="s">
        <v>26</v>
      </c>
      <c r="P98" t="s">
        <v>38</v>
      </c>
    </row>
    <row r="99" spans="1:16" x14ac:dyDescent="0.2">
      <c r="A99" t="s">
        <v>6</v>
      </c>
      <c r="B99">
        <v>1</v>
      </c>
      <c r="C99" t="s">
        <v>30</v>
      </c>
      <c r="D99">
        <v>1</v>
      </c>
      <c r="E99">
        <v>111.6</v>
      </c>
      <c r="F99">
        <v>8.3699999999999992</v>
      </c>
      <c r="G99">
        <v>248.97</v>
      </c>
      <c r="H99">
        <v>4.7</v>
      </c>
      <c r="I99">
        <v>335</v>
      </c>
      <c r="J99">
        <f t="shared" si="5"/>
        <v>5.9007674731182798</v>
      </c>
      <c r="K99">
        <f t="shared" si="6"/>
        <v>11.80153494623656</v>
      </c>
      <c r="L99">
        <f t="shared" si="7"/>
        <v>2.2309139784946237</v>
      </c>
      <c r="M99">
        <f t="shared" si="2"/>
        <v>2</v>
      </c>
      <c r="N99" s="1" t="s">
        <v>37</v>
      </c>
      <c r="O99" t="s">
        <v>26</v>
      </c>
      <c r="P99" t="s">
        <v>38</v>
      </c>
    </row>
    <row r="100" spans="1:16" x14ac:dyDescent="0.2">
      <c r="A100" t="s">
        <v>6</v>
      </c>
      <c r="B100">
        <v>1</v>
      </c>
      <c r="C100" t="s">
        <v>30</v>
      </c>
      <c r="D100">
        <v>1</v>
      </c>
      <c r="E100">
        <v>111.77</v>
      </c>
      <c r="F100">
        <v>7.74</v>
      </c>
      <c r="G100">
        <v>248.29</v>
      </c>
      <c r="H100">
        <v>5.04</v>
      </c>
      <c r="I100">
        <v>335</v>
      </c>
      <c r="J100">
        <f t="shared" si="5"/>
        <v>5.875700545763622</v>
      </c>
      <c r="K100">
        <f t="shared" si="6"/>
        <v>11.751401091527244</v>
      </c>
      <c r="L100">
        <f t="shared" si="7"/>
        <v>2.2214368793057173</v>
      </c>
      <c r="M100">
        <f t="shared" si="2"/>
        <v>2</v>
      </c>
      <c r="N100" s="1" t="s">
        <v>37</v>
      </c>
      <c r="O100" t="s">
        <v>32</v>
      </c>
      <c r="P100" t="s">
        <v>38</v>
      </c>
    </row>
    <row r="101" spans="1:16" x14ac:dyDescent="0.2">
      <c r="A101" t="s">
        <v>6</v>
      </c>
      <c r="B101">
        <v>2</v>
      </c>
      <c r="C101" t="s">
        <v>30</v>
      </c>
      <c r="D101">
        <v>1</v>
      </c>
      <c r="E101">
        <v>111.61</v>
      </c>
      <c r="F101">
        <v>7.86</v>
      </c>
      <c r="G101">
        <v>246.11</v>
      </c>
      <c r="H101">
        <v>5.18</v>
      </c>
      <c r="I101">
        <v>335</v>
      </c>
      <c r="J101">
        <f t="shared" si="5"/>
        <v>5.832460801003494</v>
      </c>
      <c r="K101">
        <f t="shared" si="6"/>
        <v>11.664921602006988</v>
      </c>
      <c r="L101">
        <f t="shared" si="7"/>
        <v>2.2050891497177671</v>
      </c>
      <c r="M101">
        <f t="shared" si="2"/>
        <v>2</v>
      </c>
      <c r="N101" s="1" t="s">
        <v>37</v>
      </c>
      <c r="O101" t="s">
        <v>32</v>
      </c>
      <c r="P101" t="s">
        <v>38</v>
      </c>
    </row>
    <row r="102" spans="1:16" x14ac:dyDescent="0.2">
      <c r="A102" t="s">
        <v>6</v>
      </c>
      <c r="B102">
        <v>2</v>
      </c>
      <c r="C102" t="s">
        <v>30</v>
      </c>
      <c r="D102">
        <v>1</v>
      </c>
      <c r="E102">
        <v>112.1</v>
      </c>
      <c r="F102">
        <v>6.53</v>
      </c>
      <c r="G102">
        <v>246.49</v>
      </c>
      <c r="H102">
        <v>4.99</v>
      </c>
      <c r="I102">
        <v>335</v>
      </c>
      <c r="J102">
        <f t="shared" si="5"/>
        <v>5.8159326494201604</v>
      </c>
      <c r="K102">
        <f t="shared" si="6"/>
        <v>11.631865298840321</v>
      </c>
      <c r="L102">
        <f t="shared" si="7"/>
        <v>2.1988403211418377</v>
      </c>
      <c r="M102">
        <f t="shared" si="2"/>
        <v>2</v>
      </c>
      <c r="N102" s="1" t="s">
        <v>37</v>
      </c>
      <c r="O102" t="s">
        <v>26</v>
      </c>
      <c r="P102" t="s">
        <v>38</v>
      </c>
    </row>
    <row r="103" spans="1:16" x14ac:dyDescent="0.2">
      <c r="A103" t="s">
        <v>10</v>
      </c>
      <c r="B103">
        <v>2</v>
      </c>
      <c r="C103" t="s">
        <v>30</v>
      </c>
      <c r="D103">
        <v>1</v>
      </c>
      <c r="E103">
        <v>104.95</v>
      </c>
      <c r="F103">
        <v>8.5</v>
      </c>
      <c r="G103">
        <v>225.79</v>
      </c>
      <c r="H103">
        <v>5.46</v>
      </c>
      <c r="I103">
        <v>340</v>
      </c>
      <c r="J103">
        <f t="shared" si="5"/>
        <v>5.6904673654121005</v>
      </c>
      <c r="K103">
        <f t="shared" si="6"/>
        <v>11.380934730824201</v>
      </c>
      <c r="L103">
        <f t="shared" si="7"/>
        <v>2.151405431157694</v>
      </c>
      <c r="M103">
        <f t="shared" si="2"/>
        <v>2</v>
      </c>
      <c r="N103" s="1" t="s">
        <v>37</v>
      </c>
      <c r="O103" t="s">
        <v>26</v>
      </c>
      <c r="P103" t="s">
        <v>38</v>
      </c>
    </row>
    <row r="104" spans="1:16" x14ac:dyDescent="0.2">
      <c r="A104" t="s">
        <v>10</v>
      </c>
      <c r="B104">
        <v>2</v>
      </c>
      <c r="C104" t="s">
        <v>30</v>
      </c>
      <c r="D104">
        <v>1</v>
      </c>
      <c r="E104">
        <v>104.8</v>
      </c>
      <c r="F104">
        <v>9.06</v>
      </c>
      <c r="G104">
        <v>224.86</v>
      </c>
      <c r="H104">
        <v>5.95</v>
      </c>
      <c r="I104">
        <v>340</v>
      </c>
      <c r="J104">
        <f t="shared" si="5"/>
        <v>5.6751402671755731</v>
      </c>
      <c r="K104">
        <f t="shared" si="6"/>
        <v>11.350280534351146</v>
      </c>
      <c r="L104">
        <f t="shared" si="7"/>
        <v>2.1456106870229008</v>
      </c>
      <c r="M104">
        <f t="shared" si="2"/>
        <v>2</v>
      </c>
      <c r="N104" s="1" t="s">
        <v>37</v>
      </c>
      <c r="O104" t="s">
        <v>32</v>
      </c>
      <c r="P104" t="s">
        <v>38</v>
      </c>
    </row>
    <row r="105" spans="1:16" x14ac:dyDescent="0.2">
      <c r="A105" t="s">
        <v>10</v>
      </c>
      <c r="B105">
        <v>3</v>
      </c>
      <c r="C105" t="s">
        <v>30</v>
      </c>
      <c r="D105">
        <v>1</v>
      </c>
      <c r="E105">
        <v>106</v>
      </c>
      <c r="F105">
        <v>9.01</v>
      </c>
      <c r="G105">
        <v>225.02</v>
      </c>
      <c r="H105">
        <v>5.77</v>
      </c>
      <c r="I105">
        <v>340</v>
      </c>
      <c r="J105">
        <f t="shared" si="5"/>
        <v>5.6148858490566047</v>
      </c>
      <c r="K105">
        <f t="shared" si="6"/>
        <v>11.229771698113209</v>
      </c>
      <c r="L105">
        <f t="shared" si="7"/>
        <v>2.1228301886792456</v>
      </c>
      <c r="M105">
        <f t="shared" si="2"/>
        <v>2</v>
      </c>
      <c r="N105" s="1" t="s">
        <v>37</v>
      </c>
      <c r="O105" t="s">
        <v>32</v>
      </c>
      <c r="P105" t="s">
        <v>38</v>
      </c>
    </row>
    <row r="106" spans="1:16" x14ac:dyDescent="0.2">
      <c r="A106" t="s">
        <v>10</v>
      </c>
      <c r="B106">
        <v>3</v>
      </c>
      <c r="C106" t="s">
        <v>30</v>
      </c>
      <c r="D106">
        <v>1</v>
      </c>
      <c r="E106">
        <v>106.8</v>
      </c>
      <c r="F106">
        <v>7.8</v>
      </c>
      <c r="G106">
        <v>225.66</v>
      </c>
      <c r="H106">
        <v>5.12</v>
      </c>
      <c r="I106">
        <v>340</v>
      </c>
      <c r="J106">
        <f t="shared" si="5"/>
        <v>5.5886769662921356</v>
      </c>
      <c r="K106">
        <f t="shared" si="6"/>
        <v>11.177353932584271</v>
      </c>
      <c r="L106">
        <f t="shared" si="7"/>
        <v>2.112921348314607</v>
      </c>
      <c r="M106">
        <f t="shared" si="2"/>
        <v>2</v>
      </c>
      <c r="N106" s="1" t="s">
        <v>37</v>
      </c>
      <c r="O106" t="s">
        <v>26</v>
      </c>
      <c r="P106" t="s">
        <v>38</v>
      </c>
    </row>
    <row r="107" spans="1:16" x14ac:dyDescent="0.2">
      <c r="A107" t="s">
        <v>29</v>
      </c>
      <c r="B107">
        <v>1</v>
      </c>
      <c r="C107" t="s">
        <v>30</v>
      </c>
      <c r="D107">
        <v>1</v>
      </c>
      <c r="E107">
        <v>123.27</v>
      </c>
      <c r="F107">
        <v>9.75</v>
      </c>
      <c r="G107">
        <v>281.41000000000003</v>
      </c>
      <c r="H107">
        <v>6.96</v>
      </c>
      <c r="I107">
        <v>340</v>
      </c>
      <c r="J107">
        <f t="shared" si="5"/>
        <v>6.0382043481787955</v>
      </c>
      <c r="K107">
        <f t="shared" si="6"/>
        <v>12.076408696357591</v>
      </c>
      <c r="L107">
        <f t="shared" si="7"/>
        <v>2.2828749898596579</v>
      </c>
      <c r="M107">
        <f t="shared" si="2"/>
        <v>2</v>
      </c>
      <c r="N107" s="1" t="s">
        <v>37</v>
      </c>
      <c r="O107" t="s">
        <v>26</v>
      </c>
      <c r="P107" t="s">
        <v>38</v>
      </c>
    </row>
    <row r="108" spans="1:16" x14ac:dyDescent="0.2">
      <c r="A108" t="s">
        <v>29</v>
      </c>
      <c r="B108">
        <v>1</v>
      </c>
      <c r="C108" t="s">
        <v>30</v>
      </c>
      <c r="D108">
        <v>1</v>
      </c>
      <c r="E108">
        <v>121.88</v>
      </c>
      <c r="F108">
        <v>10.86</v>
      </c>
      <c r="G108">
        <v>282.32</v>
      </c>
      <c r="H108">
        <v>6.91</v>
      </c>
      <c r="I108">
        <v>340</v>
      </c>
      <c r="J108">
        <f t="shared" si="5"/>
        <v>6.1268165408598625</v>
      </c>
      <c r="K108">
        <f t="shared" si="6"/>
        <v>12.253633081719725</v>
      </c>
      <c r="L108">
        <f t="shared" si="7"/>
        <v>2.3163767640301938</v>
      </c>
      <c r="M108">
        <f t="shared" si="2"/>
        <v>2</v>
      </c>
      <c r="N108" s="1" t="s">
        <v>37</v>
      </c>
      <c r="O108" t="s">
        <v>32</v>
      </c>
      <c r="P108" t="s">
        <v>38</v>
      </c>
    </row>
    <row r="109" spans="1:16" x14ac:dyDescent="0.2">
      <c r="A109" t="s">
        <v>43</v>
      </c>
      <c r="B109">
        <v>1</v>
      </c>
      <c r="C109" t="s">
        <v>30</v>
      </c>
      <c r="D109">
        <v>1</v>
      </c>
      <c r="E109">
        <v>96.71</v>
      </c>
      <c r="F109">
        <v>11.09</v>
      </c>
      <c r="G109">
        <v>272.02</v>
      </c>
      <c r="H109">
        <v>7.33</v>
      </c>
      <c r="I109">
        <v>330</v>
      </c>
      <c r="J109">
        <f t="shared" si="5"/>
        <v>7.4396949643263364</v>
      </c>
      <c r="K109">
        <f t="shared" si="6"/>
        <v>14.879389928652673</v>
      </c>
      <c r="L109">
        <f t="shared" si="7"/>
        <v>2.8127391169475753</v>
      </c>
      <c r="M109">
        <f t="shared" si="2"/>
        <v>2</v>
      </c>
      <c r="N109" s="1" t="s">
        <v>37</v>
      </c>
      <c r="O109" t="s">
        <v>32</v>
      </c>
      <c r="P109" t="s">
        <v>38</v>
      </c>
    </row>
    <row r="110" spans="1:16" x14ac:dyDescent="0.2">
      <c r="A110" t="s">
        <v>43</v>
      </c>
      <c r="B110">
        <v>1</v>
      </c>
      <c r="C110" t="s">
        <v>30</v>
      </c>
      <c r="D110">
        <v>1</v>
      </c>
      <c r="E110">
        <v>97.97</v>
      </c>
      <c r="F110">
        <v>9.7799999999999994</v>
      </c>
      <c r="G110">
        <v>274.23</v>
      </c>
      <c r="H110">
        <v>6.78</v>
      </c>
      <c r="I110">
        <v>330</v>
      </c>
      <c r="J110">
        <f t="shared" si="5"/>
        <v>7.4036781667857507</v>
      </c>
      <c r="K110">
        <f t="shared" si="6"/>
        <v>14.807356333571501</v>
      </c>
      <c r="L110">
        <f t="shared" si="7"/>
        <v>2.7991221802592632</v>
      </c>
      <c r="M110">
        <f t="shared" si="2"/>
        <v>2</v>
      </c>
      <c r="N110" s="1" t="s">
        <v>37</v>
      </c>
      <c r="O110" t="s">
        <v>26</v>
      </c>
      <c r="P110" t="s">
        <v>38</v>
      </c>
    </row>
    <row r="111" spans="1:16" x14ac:dyDescent="0.2">
      <c r="A111" t="s">
        <v>43</v>
      </c>
      <c r="B111">
        <v>2</v>
      </c>
      <c r="C111" t="s">
        <v>30</v>
      </c>
      <c r="D111">
        <v>1</v>
      </c>
      <c r="E111">
        <v>111.66</v>
      </c>
      <c r="F111">
        <v>6.94</v>
      </c>
      <c r="G111">
        <v>311.58</v>
      </c>
      <c r="H111">
        <v>4.67</v>
      </c>
      <c r="I111">
        <v>335</v>
      </c>
      <c r="J111">
        <f t="shared" si="5"/>
        <v>7.3807012358946809</v>
      </c>
      <c r="K111">
        <f t="shared" si="6"/>
        <v>14.761402471789362</v>
      </c>
      <c r="L111">
        <f t="shared" si="7"/>
        <v>2.7904352498656637</v>
      </c>
      <c r="M111">
        <f t="shared" si="2"/>
        <v>2</v>
      </c>
      <c r="N111" s="1" t="s">
        <v>37</v>
      </c>
      <c r="O111" t="s">
        <v>26</v>
      </c>
      <c r="P111" t="s">
        <v>38</v>
      </c>
    </row>
    <row r="112" spans="1:16" x14ac:dyDescent="0.2">
      <c r="A112" t="s">
        <v>43</v>
      </c>
      <c r="B112">
        <v>2</v>
      </c>
      <c r="C112" t="s">
        <v>30</v>
      </c>
      <c r="D112">
        <v>1</v>
      </c>
      <c r="E112">
        <v>109.03</v>
      </c>
      <c r="F112">
        <v>10.17</v>
      </c>
      <c r="G112">
        <v>309.69</v>
      </c>
      <c r="H112">
        <v>5.97</v>
      </c>
      <c r="I112">
        <v>335</v>
      </c>
      <c r="J112">
        <f t="shared" si="5"/>
        <v>7.5128868201412455</v>
      </c>
      <c r="K112">
        <f t="shared" si="6"/>
        <v>15.025773640282491</v>
      </c>
      <c r="L112">
        <f t="shared" si="7"/>
        <v>2.8404108960836467</v>
      </c>
      <c r="M112">
        <f t="shared" si="2"/>
        <v>2</v>
      </c>
      <c r="N112" s="1" t="s">
        <v>37</v>
      </c>
      <c r="O112" t="s">
        <v>32</v>
      </c>
      <c r="P112" t="s">
        <v>38</v>
      </c>
    </row>
    <row r="113" spans="1:16" x14ac:dyDescent="0.2">
      <c r="A113" t="s">
        <v>45</v>
      </c>
      <c r="B113">
        <v>2</v>
      </c>
      <c r="C113" t="s">
        <v>30</v>
      </c>
      <c r="D113">
        <v>1</v>
      </c>
      <c r="E113">
        <v>111.9</v>
      </c>
      <c r="F113">
        <v>13.98</v>
      </c>
      <c r="G113">
        <v>415.32</v>
      </c>
      <c r="H113">
        <v>7.09</v>
      </c>
      <c r="I113">
        <v>335</v>
      </c>
      <c r="J113">
        <f t="shared" si="5"/>
        <v>9.8169919571045572</v>
      </c>
      <c r="K113">
        <f t="shared" si="6"/>
        <v>19.633983914209114</v>
      </c>
      <c r="L113">
        <f t="shared" si="7"/>
        <v>3.7115281501340478</v>
      </c>
      <c r="M113">
        <f t="shared" si="2"/>
        <v>2</v>
      </c>
      <c r="N113" s="1" t="s">
        <v>37</v>
      </c>
      <c r="O113" t="s">
        <v>26</v>
      </c>
      <c r="P113" t="s">
        <v>38</v>
      </c>
    </row>
    <row r="114" spans="1:16" x14ac:dyDescent="0.2">
      <c r="A114" t="s">
        <v>45</v>
      </c>
      <c r="B114">
        <v>2</v>
      </c>
      <c r="C114" t="s">
        <v>30</v>
      </c>
      <c r="D114">
        <v>1</v>
      </c>
      <c r="E114">
        <v>109.15</v>
      </c>
      <c r="F114">
        <v>15.23</v>
      </c>
      <c r="G114">
        <v>404.42</v>
      </c>
      <c r="H114">
        <v>10.38</v>
      </c>
      <c r="I114">
        <v>335</v>
      </c>
      <c r="J114">
        <f t="shared" si="5"/>
        <v>9.8001914796152079</v>
      </c>
      <c r="K114">
        <f t="shared" si="6"/>
        <v>19.600382959230416</v>
      </c>
      <c r="L114">
        <f t="shared" si="7"/>
        <v>3.7051763628034813</v>
      </c>
      <c r="M114">
        <f t="shared" si="2"/>
        <v>2</v>
      </c>
      <c r="N114" s="1" t="s">
        <v>37</v>
      </c>
      <c r="O114" t="s">
        <v>32</v>
      </c>
      <c r="P114" t="s">
        <v>38</v>
      </c>
    </row>
    <row r="115" spans="1:16" x14ac:dyDescent="0.2">
      <c r="A115" t="s">
        <v>45</v>
      </c>
      <c r="B115">
        <v>3</v>
      </c>
      <c r="C115" t="s">
        <v>30</v>
      </c>
      <c r="D115">
        <v>1</v>
      </c>
      <c r="E115">
        <v>107.6</v>
      </c>
      <c r="F115">
        <v>14.23</v>
      </c>
      <c r="G115">
        <v>385.28</v>
      </c>
      <c r="H115">
        <v>9.6</v>
      </c>
      <c r="I115">
        <v>335</v>
      </c>
      <c r="J115">
        <f t="shared" si="5"/>
        <v>9.4708698884758356</v>
      </c>
      <c r="K115">
        <f t="shared" si="6"/>
        <v>18.941739776951671</v>
      </c>
      <c r="L115">
        <f t="shared" si="7"/>
        <v>3.5806691449814125</v>
      </c>
      <c r="M115">
        <f t="shared" si="2"/>
        <v>2</v>
      </c>
      <c r="N115" s="1" t="s">
        <v>37</v>
      </c>
      <c r="O115" t="s">
        <v>32</v>
      </c>
      <c r="P115" t="s">
        <v>38</v>
      </c>
    </row>
    <row r="116" spans="1:16" x14ac:dyDescent="0.2">
      <c r="A116" t="s">
        <v>45</v>
      </c>
      <c r="B116">
        <v>3</v>
      </c>
      <c r="C116" t="s">
        <v>30</v>
      </c>
      <c r="D116">
        <v>1</v>
      </c>
      <c r="E116">
        <v>109.51</v>
      </c>
      <c r="F116">
        <v>12.14</v>
      </c>
      <c r="G116">
        <v>399.09</v>
      </c>
      <c r="H116">
        <v>7</v>
      </c>
      <c r="I116">
        <v>335</v>
      </c>
      <c r="J116">
        <f t="shared" si="5"/>
        <v>9.6392388822938528</v>
      </c>
      <c r="K116">
        <f t="shared" si="6"/>
        <v>19.278477764587706</v>
      </c>
      <c r="L116">
        <f t="shared" si="7"/>
        <v>3.6443247192037251</v>
      </c>
      <c r="M116">
        <f t="shared" si="2"/>
        <v>2</v>
      </c>
      <c r="N116" s="1" t="s">
        <v>37</v>
      </c>
      <c r="O116" t="s">
        <v>26</v>
      </c>
      <c r="P116" t="s">
        <v>38</v>
      </c>
    </row>
    <row r="117" spans="1:16" x14ac:dyDescent="0.2">
      <c r="A117" t="s">
        <v>0</v>
      </c>
      <c r="B117">
        <v>3</v>
      </c>
      <c r="C117" t="s">
        <v>30</v>
      </c>
      <c r="D117">
        <v>1</v>
      </c>
      <c r="E117">
        <v>107.19</v>
      </c>
      <c r="F117">
        <v>9.64</v>
      </c>
      <c r="G117">
        <v>365.92</v>
      </c>
      <c r="H117">
        <v>8.18</v>
      </c>
      <c r="I117">
        <v>335</v>
      </c>
      <c r="J117">
        <f t="shared" si="5"/>
        <v>9.0293721429237817</v>
      </c>
      <c r="K117">
        <f t="shared" si="6"/>
        <v>18.058744285847563</v>
      </c>
      <c r="L117">
        <f t="shared" si="7"/>
        <v>3.4137512827689154</v>
      </c>
      <c r="M117">
        <f t="shared" si="2"/>
        <v>2</v>
      </c>
      <c r="N117" s="1" t="s">
        <v>37</v>
      </c>
      <c r="O117" t="s">
        <v>26</v>
      </c>
      <c r="P117" t="s">
        <v>38</v>
      </c>
    </row>
    <row r="118" spans="1:16" x14ac:dyDescent="0.2">
      <c r="A118" t="s">
        <v>0</v>
      </c>
      <c r="B118">
        <v>3</v>
      </c>
      <c r="C118" t="s">
        <v>30</v>
      </c>
      <c r="D118">
        <v>1</v>
      </c>
      <c r="E118">
        <v>104.47</v>
      </c>
      <c r="F118">
        <v>11.87</v>
      </c>
      <c r="G118">
        <v>368.05</v>
      </c>
      <c r="H118">
        <v>7.41</v>
      </c>
      <c r="I118">
        <v>335</v>
      </c>
      <c r="J118">
        <f t="shared" si="5"/>
        <v>9.3183904470182828</v>
      </c>
      <c r="K118">
        <f t="shared" si="6"/>
        <v>18.636780894036566</v>
      </c>
      <c r="L118">
        <f t="shared" si="7"/>
        <v>3.5230209629558726</v>
      </c>
      <c r="M118">
        <f t="shared" si="2"/>
        <v>2</v>
      </c>
      <c r="N118" s="1" t="s">
        <v>37</v>
      </c>
      <c r="O118" t="s">
        <v>32</v>
      </c>
      <c r="P118" t="s">
        <v>38</v>
      </c>
    </row>
    <row r="119" spans="1:16" x14ac:dyDescent="0.2">
      <c r="A119" t="s">
        <v>0</v>
      </c>
      <c r="B119">
        <v>4</v>
      </c>
      <c r="C119" t="s">
        <v>30</v>
      </c>
      <c r="D119">
        <v>1</v>
      </c>
      <c r="E119">
        <v>109.33</v>
      </c>
      <c r="F119">
        <v>7.44</v>
      </c>
      <c r="G119">
        <v>377.79</v>
      </c>
      <c r="H119">
        <v>5.01</v>
      </c>
      <c r="I119">
        <v>335</v>
      </c>
      <c r="J119">
        <f t="shared" si="5"/>
        <v>9.1398019756699913</v>
      </c>
      <c r="K119">
        <f t="shared" si="6"/>
        <v>18.279603951339983</v>
      </c>
      <c r="L119">
        <f t="shared" si="7"/>
        <v>3.4555016921247601</v>
      </c>
      <c r="M119">
        <f t="shared" si="2"/>
        <v>2</v>
      </c>
      <c r="N119" s="1" t="s">
        <v>37</v>
      </c>
      <c r="O119" t="s">
        <v>32</v>
      </c>
      <c r="P119" t="s">
        <v>38</v>
      </c>
    </row>
    <row r="120" spans="1:16" x14ac:dyDescent="0.2">
      <c r="A120" t="s">
        <v>0</v>
      </c>
      <c r="B120">
        <v>4</v>
      </c>
      <c r="C120" t="s">
        <v>30</v>
      </c>
      <c r="D120">
        <v>1</v>
      </c>
      <c r="E120">
        <v>110.83</v>
      </c>
      <c r="F120">
        <v>6.36</v>
      </c>
      <c r="G120">
        <v>379.98</v>
      </c>
      <c r="H120">
        <v>4.4000000000000004</v>
      </c>
      <c r="I120">
        <v>335</v>
      </c>
      <c r="J120">
        <f>G120/E120*2.645</f>
        <v>9.0683668681764882</v>
      </c>
      <c r="K120">
        <f t="shared" si="6"/>
        <v>18.136733736352976</v>
      </c>
      <c r="L120">
        <f t="shared" si="7"/>
        <v>3.4284940900478214</v>
      </c>
      <c r="M120">
        <f t="shared" si="2"/>
        <v>2</v>
      </c>
      <c r="N120" s="1" t="s">
        <v>37</v>
      </c>
      <c r="O120" t="s">
        <v>26</v>
      </c>
      <c r="P120" t="s">
        <v>38</v>
      </c>
    </row>
    <row r="121" spans="1:16" x14ac:dyDescent="0.2">
      <c r="A121" t="s">
        <v>0</v>
      </c>
      <c r="B121">
        <v>5</v>
      </c>
      <c r="C121" t="s">
        <v>30</v>
      </c>
      <c r="D121">
        <v>1</v>
      </c>
      <c r="E121">
        <v>108.02</v>
      </c>
      <c r="F121">
        <v>7.44</v>
      </c>
      <c r="G121">
        <v>374.43</v>
      </c>
      <c r="H121">
        <v>4.54</v>
      </c>
      <c r="I121">
        <v>335</v>
      </c>
      <c r="J121">
        <f>G121/E121*2.645</f>
        <v>9.1683702092205142</v>
      </c>
      <c r="K121">
        <f t="shared" si="6"/>
        <v>18.336740418441028</v>
      </c>
      <c r="L121">
        <f t="shared" si="7"/>
        <v>3.4663025365673024</v>
      </c>
      <c r="M121">
        <f t="shared" si="2"/>
        <v>2</v>
      </c>
      <c r="N121" s="1" t="s">
        <v>37</v>
      </c>
      <c r="O121" t="s">
        <v>26</v>
      </c>
      <c r="P121" t="s">
        <v>38</v>
      </c>
    </row>
    <row r="122" spans="1:16" x14ac:dyDescent="0.2">
      <c r="A122" t="s">
        <v>0</v>
      </c>
      <c r="B122">
        <v>5</v>
      </c>
      <c r="C122" t="s">
        <v>30</v>
      </c>
      <c r="D122">
        <v>1</v>
      </c>
      <c r="E122">
        <v>106.56</v>
      </c>
      <c r="F122">
        <v>9.08</v>
      </c>
      <c r="G122">
        <v>372.39</v>
      </c>
      <c r="H122">
        <v>5.38</v>
      </c>
      <c r="I122">
        <v>335</v>
      </c>
      <c r="J122">
        <f t="shared" si="5"/>
        <v>9.2433516328828826</v>
      </c>
      <c r="K122">
        <f t="shared" si="6"/>
        <v>18.486703265765765</v>
      </c>
      <c r="L122">
        <f t="shared" si="7"/>
        <v>3.4946509009009006</v>
      </c>
      <c r="M122">
        <f t="shared" si="2"/>
        <v>2</v>
      </c>
      <c r="N122" s="1" t="s">
        <v>37</v>
      </c>
      <c r="O122" t="s">
        <v>32</v>
      </c>
      <c r="P122" t="s">
        <v>38</v>
      </c>
    </row>
    <row r="123" spans="1:16" x14ac:dyDescent="0.2">
      <c r="A123" t="s">
        <v>2</v>
      </c>
      <c r="B123">
        <v>4</v>
      </c>
      <c r="C123" t="s">
        <v>30</v>
      </c>
      <c r="D123">
        <v>1</v>
      </c>
      <c r="E123">
        <v>102.7</v>
      </c>
      <c r="F123">
        <v>11.22</v>
      </c>
      <c r="G123">
        <v>224.2</v>
      </c>
      <c r="H123">
        <v>6.29</v>
      </c>
      <c r="I123">
        <v>340</v>
      </c>
      <c r="J123">
        <f t="shared" si="5"/>
        <v>5.7741869522882183</v>
      </c>
      <c r="K123">
        <f t="shared" si="6"/>
        <v>11.548373904576437</v>
      </c>
      <c r="L123">
        <f t="shared" si="7"/>
        <v>2.1830574488802337</v>
      </c>
      <c r="M123">
        <f t="shared" si="2"/>
        <v>2</v>
      </c>
      <c r="N123" s="1" t="s">
        <v>37</v>
      </c>
      <c r="O123" t="s">
        <v>32</v>
      </c>
      <c r="P123" t="s">
        <v>38</v>
      </c>
    </row>
    <row r="124" spans="1:16" x14ac:dyDescent="0.2">
      <c r="A124" t="s">
        <v>2</v>
      </c>
      <c r="B124">
        <v>4</v>
      </c>
      <c r="C124" t="s">
        <v>30</v>
      </c>
      <c r="D124">
        <v>1</v>
      </c>
      <c r="E124">
        <v>103.28</v>
      </c>
      <c r="F124">
        <v>8.2899999999999991</v>
      </c>
      <c r="G124">
        <v>224.58</v>
      </c>
      <c r="H124">
        <v>5.77</v>
      </c>
      <c r="I124">
        <v>340</v>
      </c>
      <c r="J124">
        <f t="shared" si="5"/>
        <v>5.75149206041828</v>
      </c>
      <c r="K124">
        <f t="shared" si="6"/>
        <v>11.50298412083656</v>
      </c>
      <c r="L124">
        <f t="shared" si="7"/>
        <v>2.1744771494965143</v>
      </c>
      <c r="M124">
        <f t="shared" si="2"/>
        <v>2</v>
      </c>
      <c r="N124" s="1" t="s">
        <v>37</v>
      </c>
      <c r="O124" t="s">
        <v>26</v>
      </c>
      <c r="P124" t="s">
        <v>38</v>
      </c>
    </row>
    <row r="125" spans="1:16" x14ac:dyDescent="0.2">
      <c r="A125" t="s">
        <v>2</v>
      </c>
      <c r="B125">
        <v>5</v>
      </c>
      <c r="C125" t="s">
        <v>30</v>
      </c>
      <c r="D125">
        <v>1</v>
      </c>
      <c r="E125">
        <v>102.97</v>
      </c>
      <c r="F125">
        <v>7.54</v>
      </c>
      <c r="G125">
        <v>224.01</v>
      </c>
      <c r="H125">
        <v>6.13</v>
      </c>
      <c r="I125">
        <v>340</v>
      </c>
      <c r="J125">
        <f t="shared" si="5"/>
        <v>5.7541657764397396</v>
      </c>
      <c r="K125">
        <f t="shared" si="6"/>
        <v>11.508331552879479</v>
      </c>
      <c r="L125">
        <f t="shared" si="7"/>
        <v>2.1754880062154025</v>
      </c>
      <c r="M125">
        <f t="shared" si="2"/>
        <v>2</v>
      </c>
      <c r="N125" s="1" t="s">
        <v>37</v>
      </c>
      <c r="O125" t="s">
        <v>26</v>
      </c>
      <c r="P125" t="s">
        <v>38</v>
      </c>
    </row>
    <row r="126" spans="1:16" x14ac:dyDescent="0.2">
      <c r="A126" t="s">
        <v>2</v>
      </c>
      <c r="B126">
        <v>5</v>
      </c>
      <c r="C126" t="s">
        <v>30</v>
      </c>
      <c r="D126">
        <v>1</v>
      </c>
      <c r="E126">
        <v>101.74</v>
      </c>
      <c r="F126">
        <v>10.26</v>
      </c>
      <c r="G126">
        <v>223.07</v>
      </c>
      <c r="H126">
        <v>6.43</v>
      </c>
      <c r="I126">
        <v>340</v>
      </c>
      <c r="J126">
        <f t="shared" si="5"/>
        <v>5.7992937880872812</v>
      </c>
      <c r="K126">
        <f t="shared" si="6"/>
        <v>11.598587576174562</v>
      </c>
      <c r="L126">
        <f t="shared" si="7"/>
        <v>2.1925496363278945</v>
      </c>
      <c r="M126">
        <f t="shared" si="2"/>
        <v>2</v>
      </c>
      <c r="N126" s="1" t="s">
        <v>37</v>
      </c>
      <c r="O126" t="s">
        <v>32</v>
      </c>
      <c r="P126" t="s">
        <v>38</v>
      </c>
    </row>
    <row r="127" spans="1:16" x14ac:dyDescent="0.2">
      <c r="A127" t="s">
        <v>2</v>
      </c>
      <c r="B127">
        <v>6</v>
      </c>
      <c r="C127" t="s">
        <v>30</v>
      </c>
      <c r="D127">
        <v>1</v>
      </c>
      <c r="E127">
        <v>100.9</v>
      </c>
      <c r="F127">
        <v>11.8</v>
      </c>
      <c r="G127">
        <v>220.32</v>
      </c>
      <c r="H127">
        <v>6.96</v>
      </c>
      <c r="I127">
        <v>340</v>
      </c>
      <c r="J127">
        <f t="shared" si="5"/>
        <v>5.7754846382556986</v>
      </c>
      <c r="K127">
        <f t="shared" si="6"/>
        <v>11.550969276511397</v>
      </c>
      <c r="L127">
        <f t="shared" si="7"/>
        <v>2.1835480673934589</v>
      </c>
      <c r="M127">
        <f t="shared" si="2"/>
        <v>2</v>
      </c>
      <c r="N127" s="1" t="s">
        <v>37</v>
      </c>
      <c r="O127" t="s">
        <v>32</v>
      </c>
      <c r="P127" t="s">
        <v>38</v>
      </c>
    </row>
    <row r="128" spans="1:16" x14ac:dyDescent="0.2">
      <c r="A128" t="s">
        <v>2</v>
      </c>
      <c r="B128">
        <v>6</v>
      </c>
      <c r="C128" t="s">
        <v>30</v>
      </c>
      <c r="D128">
        <v>1</v>
      </c>
      <c r="E128">
        <v>101.6</v>
      </c>
      <c r="F128">
        <v>9.65</v>
      </c>
      <c r="G128">
        <v>220.67</v>
      </c>
      <c r="H128">
        <v>6.92</v>
      </c>
      <c r="I128">
        <v>340</v>
      </c>
      <c r="J128">
        <f t="shared" si="5"/>
        <v>5.7448046259842513</v>
      </c>
      <c r="K128">
        <f t="shared" si="6"/>
        <v>11.489609251968503</v>
      </c>
      <c r="L128">
        <f t="shared" si="7"/>
        <v>2.1719488188976377</v>
      </c>
      <c r="M128">
        <f t="shared" si="2"/>
        <v>2</v>
      </c>
      <c r="N128" s="1" t="s">
        <v>37</v>
      </c>
      <c r="O128" t="s">
        <v>26</v>
      </c>
      <c r="P128" t="s">
        <v>38</v>
      </c>
    </row>
    <row r="129" spans="1:16" x14ac:dyDescent="0.2">
      <c r="A129" t="s">
        <v>46</v>
      </c>
      <c r="B129">
        <v>1</v>
      </c>
      <c r="C129" t="s">
        <v>30</v>
      </c>
      <c r="D129">
        <v>1</v>
      </c>
      <c r="E129">
        <v>101.83</v>
      </c>
      <c r="F129">
        <v>10.59</v>
      </c>
      <c r="G129">
        <v>302.66000000000003</v>
      </c>
      <c r="H129">
        <v>6.72</v>
      </c>
      <c r="I129">
        <v>340</v>
      </c>
      <c r="J129">
        <f t="shared" ref="J129:J134" si="8">G129/E129*2.645</f>
        <v>7.8614917018560355</v>
      </c>
      <c r="K129">
        <f t="shared" ref="K129:K136" si="9">J129*2</f>
        <v>15.722983403712071</v>
      </c>
      <c r="L129">
        <f t="shared" ref="L129:L136" si="10">G129/E129</f>
        <v>2.9722085829323386</v>
      </c>
      <c r="M129">
        <f t="shared" ref="M129:M147" si="11">IF(L129&lt;10,2,4)</f>
        <v>2</v>
      </c>
      <c r="N129" s="1" t="s">
        <v>37</v>
      </c>
      <c r="O129" t="s">
        <v>26</v>
      </c>
      <c r="P129" t="s">
        <v>38</v>
      </c>
    </row>
    <row r="130" spans="1:16" x14ac:dyDescent="0.2">
      <c r="A130" t="s">
        <v>46</v>
      </c>
      <c r="B130">
        <v>1</v>
      </c>
      <c r="C130" t="s">
        <v>30</v>
      </c>
      <c r="D130">
        <v>1</v>
      </c>
      <c r="E130">
        <v>102.38</v>
      </c>
      <c r="F130">
        <v>11.5</v>
      </c>
      <c r="G130">
        <v>300.62</v>
      </c>
      <c r="H130">
        <v>7.16</v>
      </c>
      <c r="I130">
        <v>340</v>
      </c>
      <c r="J130">
        <f t="shared" si="8"/>
        <v>7.7665549912092207</v>
      </c>
      <c r="K130">
        <f t="shared" si="9"/>
        <v>15.533109982418441</v>
      </c>
      <c r="L130">
        <f t="shared" si="10"/>
        <v>2.9363156866575504</v>
      </c>
      <c r="M130">
        <f t="shared" si="11"/>
        <v>2</v>
      </c>
      <c r="N130" s="1" t="s">
        <v>37</v>
      </c>
      <c r="O130" t="s">
        <v>32</v>
      </c>
      <c r="P130" t="s">
        <v>38</v>
      </c>
    </row>
    <row r="131" spans="1:16" x14ac:dyDescent="0.2">
      <c r="A131" t="s">
        <v>46</v>
      </c>
      <c r="B131">
        <v>2</v>
      </c>
      <c r="C131" t="s">
        <v>30</v>
      </c>
      <c r="D131">
        <v>1</v>
      </c>
      <c r="E131">
        <v>103.77</v>
      </c>
      <c r="F131">
        <v>11.58</v>
      </c>
      <c r="G131">
        <v>303.45</v>
      </c>
      <c r="H131">
        <v>6.15</v>
      </c>
      <c r="I131">
        <v>340</v>
      </c>
      <c r="J131">
        <f t="shared" si="8"/>
        <v>7.7346559699335069</v>
      </c>
      <c r="K131">
        <f t="shared" si="9"/>
        <v>15.469311939867014</v>
      </c>
      <c r="L131">
        <f t="shared" si="10"/>
        <v>2.9242555651922522</v>
      </c>
      <c r="M131">
        <f t="shared" si="11"/>
        <v>2</v>
      </c>
      <c r="N131" s="1" t="s">
        <v>37</v>
      </c>
      <c r="O131" t="s">
        <v>32</v>
      </c>
      <c r="P131" t="s">
        <v>38</v>
      </c>
    </row>
    <row r="132" spans="1:16" x14ac:dyDescent="0.2">
      <c r="A132" t="s">
        <v>46</v>
      </c>
      <c r="B132">
        <v>2</v>
      </c>
      <c r="C132" t="s">
        <v>30</v>
      </c>
      <c r="D132">
        <v>1</v>
      </c>
      <c r="E132">
        <v>103.27</v>
      </c>
      <c r="F132">
        <v>11.46</v>
      </c>
      <c r="G132">
        <v>305.86</v>
      </c>
      <c r="H132">
        <v>5.85</v>
      </c>
      <c r="I132">
        <v>340</v>
      </c>
      <c r="J132">
        <f t="shared" si="8"/>
        <v>7.8338307349665923</v>
      </c>
      <c r="K132">
        <f t="shared" si="9"/>
        <v>15.667661469933185</v>
      </c>
      <c r="L132">
        <f t="shared" si="10"/>
        <v>2.9617507504599594</v>
      </c>
      <c r="M132">
        <f t="shared" si="11"/>
        <v>2</v>
      </c>
      <c r="N132" s="1" t="s">
        <v>37</v>
      </c>
      <c r="O132" t="s">
        <v>26</v>
      </c>
      <c r="P132" t="s">
        <v>38</v>
      </c>
    </row>
    <row r="133" spans="1:16" x14ac:dyDescent="0.2">
      <c r="A133" t="s">
        <v>46</v>
      </c>
      <c r="B133">
        <v>3</v>
      </c>
      <c r="C133" t="s">
        <v>30</v>
      </c>
      <c r="D133">
        <v>1</v>
      </c>
      <c r="E133">
        <v>106.27</v>
      </c>
      <c r="F133">
        <v>9.16</v>
      </c>
      <c r="G133">
        <v>308.32</v>
      </c>
      <c r="H133">
        <v>5.1100000000000003</v>
      </c>
      <c r="I133">
        <v>340</v>
      </c>
      <c r="J133">
        <f t="shared" si="8"/>
        <v>7.6739098522631028</v>
      </c>
      <c r="K133">
        <f t="shared" si="9"/>
        <v>15.347819704526206</v>
      </c>
      <c r="L133">
        <f t="shared" si="10"/>
        <v>2.9012891690975815</v>
      </c>
      <c r="M133">
        <f t="shared" si="11"/>
        <v>2</v>
      </c>
      <c r="N133" s="1" t="s">
        <v>37</v>
      </c>
      <c r="O133" t="s">
        <v>26</v>
      </c>
      <c r="P133" t="s">
        <v>38</v>
      </c>
    </row>
    <row r="134" spans="1:16" x14ac:dyDescent="0.2">
      <c r="A134" t="s">
        <v>46</v>
      </c>
      <c r="B134">
        <v>3</v>
      </c>
      <c r="C134" t="s">
        <v>30</v>
      </c>
      <c r="D134">
        <v>1</v>
      </c>
      <c r="E134">
        <v>103.88</v>
      </c>
      <c r="F134">
        <v>13.92</v>
      </c>
      <c r="G134">
        <v>308.75</v>
      </c>
      <c r="H134">
        <v>6.2</v>
      </c>
      <c r="I134">
        <v>340</v>
      </c>
      <c r="J134">
        <f t="shared" si="8"/>
        <v>7.8614146130150182</v>
      </c>
      <c r="K134">
        <f t="shared" si="9"/>
        <v>15.722829226030036</v>
      </c>
      <c r="L134">
        <f t="shared" si="10"/>
        <v>2.9721794378128612</v>
      </c>
      <c r="M134">
        <f t="shared" si="11"/>
        <v>2</v>
      </c>
      <c r="N134" s="1" t="s">
        <v>37</v>
      </c>
      <c r="O134" t="s">
        <v>32</v>
      </c>
      <c r="P134" t="s">
        <v>38</v>
      </c>
    </row>
    <row r="135" spans="1:16" x14ac:dyDescent="0.2">
      <c r="A135" t="s">
        <v>39</v>
      </c>
      <c r="B135">
        <v>1</v>
      </c>
      <c r="C135" t="s">
        <v>1</v>
      </c>
      <c r="D135">
        <v>1</v>
      </c>
      <c r="E135">
        <v>84.55</v>
      </c>
      <c r="F135">
        <v>11.34</v>
      </c>
      <c r="G135">
        <v>246.31</v>
      </c>
      <c r="H135">
        <v>8.41</v>
      </c>
      <c r="I135">
        <v>394</v>
      </c>
      <c r="J135">
        <f>G135/E135*0.765</f>
        <v>2.2285884092253103</v>
      </c>
      <c r="K135">
        <f t="shared" si="9"/>
        <v>4.4571768184506206</v>
      </c>
      <c r="L135">
        <f t="shared" si="10"/>
        <v>2.9131874630396215</v>
      </c>
      <c r="M135">
        <f t="shared" si="11"/>
        <v>2</v>
      </c>
      <c r="N135" s="1" t="s">
        <v>40</v>
      </c>
      <c r="O135" t="s">
        <v>26</v>
      </c>
      <c r="P135" t="s">
        <v>38</v>
      </c>
    </row>
    <row r="136" spans="1:16" x14ac:dyDescent="0.2">
      <c r="A136" t="s">
        <v>39</v>
      </c>
      <c r="B136">
        <v>1</v>
      </c>
      <c r="C136" t="s">
        <v>1</v>
      </c>
      <c r="D136">
        <v>1</v>
      </c>
      <c r="E136">
        <v>84.31</v>
      </c>
      <c r="F136">
        <v>10.4</v>
      </c>
      <c r="G136">
        <v>248.35</v>
      </c>
      <c r="H136">
        <v>8.1300000000000008</v>
      </c>
      <c r="I136">
        <v>394</v>
      </c>
      <c r="J136">
        <f t="shared" ref="J136:J147" si="12">G136/E136*0.765</f>
        <v>2.2534426521171862</v>
      </c>
      <c r="K136">
        <f t="shared" si="9"/>
        <v>4.5068853042343724</v>
      </c>
      <c r="L136">
        <f t="shared" si="10"/>
        <v>2.9456766694342305</v>
      </c>
      <c r="M136">
        <f t="shared" si="11"/>
        <v>2</v>
      </c>
      <c r="N136" s="1" t="s">
        <v>40</v>
      </c>
      <c r="O136" t="s">
        <v>32</v>
      </c>
      <c r="P136" t="s">
        <v>38</v>
      </c>
    </row>
    <row r="137" spans="1:16" x14ac:dyDescent="0.2">
      <c r="A137" t="s">
        <v>39</v>
      </c>
      <c r="B137">
        <v>2</v>
      </c>
      <c r="C137" t="s">
        <v>1</v>
      </c>
      <c r="G137">
        <v>104.69</v>
      </c>
      <c r="H137">
        <v>7.88</v>
      </c>
      <c r="I137">
        <v>350</v>
      </c>
      <c r="M137">
        <f t="shared" si="11"/>
        <v>2</v>
      </c>
      <c r="N137" s="1" t="s">
        <v>40</v>
      </c>
      <c r="O137" t="s">
        <v>26</v>
      </c>
      <c r="P137" t="s">
        <v>38</v>
      </c>
    </row>
    <row r="138" spans="1:16" x14ac:dyDescent="0.2">
      <c r="A138" t="s">
        <v>39</v>
      </c>
      <c r="B138">
        <v>3</v>
      </c>
      <c r="C138" t="s">
        <v>1</v>
      </c>
      <c r="D138">
        <v>1</v>
      </c>
      <c r="E138">
        <v>90.01</v>
      </c>
      <c r="F138">
        <v>8.77</v>
      </c>
      <c r="G138">
        <v>264</v>
      </c>
      <c r="H138">
        <v>6.2</v>
      </c>
      <c r="I138">
        <v>394</v>
      </c>
      <c r="J138">
        <f t="shared" ref="J138" si="13">G138/E138*0.765</f>
        <v>2.2437506943672925</v>
      </c>
      <c r="K138">
        <f t="shared" ref="K138" si="14">J138*2</f>
        <v>4.4875013887345849</v>
      </c>
      <c r="L138">
        <f t="shared" ref="L138:L141" si="15">G138/E138</f>
        <v>2.9330074436173756</v>
      </c>
      <c r="M138">
        <f t="shared" ref="M138:M141" si="16">IF(L138&lt;10,2,4)</f>
        <v>2</v>
      </c>
      <c r="N138" s="1" t="s">
        <v>40</v>
      </c>
      <c r="O138" t="s">
        <v>32</v>
      </c>
      <c r="P138" t="s">
        <v>38</v>
      </c>
    </row>
    <row r="139" spans="1:16" x14ac:dyDescent="0.2">
      <c r="A139" t="s">
        <v>39</v>
      </c>
      <c r="B139">
        <v>3</v>
      </c>
      <c r="C139" t="s">
        <v>1</v>
      </c>
      <c r="D139">
        <v>1</v>
      </c>
      <c r="E139">
        <v>89.83</v>
      </c>
      <c r="F139">
        <v>7.82</v>
      </c>
      <c r="G139">
        <v>263.68</v>
      </c>
      <c r="H139">
        <v>6.01</v>
      </c>
      <c r="I139">
        <v>394</v>
      </c>
      <c r="J139">
        <f t="shared" ref="J139:J141" si="17">G139/E139*0.765</f>
        <v>2.2455215406879665</v>
      </c>
      <c r="K139">
        <f t="shared" ref="K139:K141" si="18">J139*2</f>
        <v>4.491043081375933</v>
      </c>
      <c r="L139">
        <f t="shared" si="15"/>
        <v>2.9353222754091064</v>
      </c>
      <c r="M139">
        <f t="shared" si="16"/>
        <v>2</v>
      </c>
      <c r="N139" s="1" t="s">
        <v>40</v>
      </c>
      <c r="O139" t="s">
        <v>26</v>
      </c>
      <c r="P139" t="s">
        <v>38</v>
      </c>
    </row>
    <row r="140" spans="1:16" x14ac:dyDescent="0.2">
      <c r="A140" t="s">
        <v>39</v>
      </c>
      <c r="B140">
        <v>4</v>
      </c>
      <c r="C140" t="s">
        <v>1</v>
      </c>
      <c r="D140">
        <v>1</v>
      </c>
      <c r="E140">
        <v>88.59</v>
      </c>
      <c r="F140">
        <v>7.28</v>
      </c>
      <c r="G140">
        <v>259.01</v>
      </c>
      <c r="H140">
        <v>6.44</v>
      </c>
      <c r="I140">
        <v>394</v>
      </c>
      <c r="J140">
        <f t="shared" si="17"/>
        <v>2.2366254656281748</v>
      </c>
      <c r="K140">
        <f t="shared" si="18"/>
        <v>4.4732509312563495</v>
      </c>
      <c r="L140">
        <f t="shared" si="15"/>
        <v>2.9236934191217969</v>
      </c>
      <c r="M140">
        <f t="shared" si="16"/>
        <v>2</v>
      </c>
      <c r="N140" s="1" t="s">
        <v>40</v>
      </c>
      <c r="O140" t="s">
        <v>32</v>
      </c>
      <c r="P140" t="s">
        <v>38</v>
      </c>
    </row>
    <row r="141" spans="1:16" x14ac:dyDescent="0.2">
      <c r="A141" t="s">
        <v>39</v>
      </c>
      <c r="B141">
        <v>4</v>
      </c>
      <c r="C141" t="s">
        <v>1</v>
      </c>
      <c r="D141">
        <v>1</v>
      </c>
      <c r="E141">
        <v>89.24</v>
      </c>
      <c r="F141">
        <v>7.21</v>
      </c>
      <c r="G141">
        <v>260.33999999999997</v>
      </c>
      <c r="H141">
        <v>6.46</v>
      </c>
      <c r="I141">
        <v>394</v>
      </c>
      <c r="J141">
        <f t="shared" si="17"/>
        <v>2.2317357687135813</v>
      </c>
      <c r="K141">
        <f t="shared" si="18"/>
        <v>4.4634715374271625</v>
      </c>
      <c r="L141">
        <f t="shared" si="15"/>
        <v>2.917301658449126</v>
      </c>
      <c r="M141">
        <f t="shared" si="16"/>
        <v>2</v>
      </c>
      <c r="N141" s="1" t="s">
        <v>40</v>
      </c>
      <c r="O141" t="s">
        <v>26</v>
      </c>
      <c r="P141" t="s">
        <v>38</v>
      </c>
    </row>
    <row r="142" spans="1:16" x14ac:dyDescent="0.2">
      <c r="A142" t="s">
        <v>41</v>
      </c>
      <c r="B142">
        <v>1</v>
      </c>
      <c r="C142" t="s">
        <v>1</v>
      </c>
      <c r="D142">
        <v>1</v>
      </c>
      <c r="E142">
        <v>89.93</v>
      </c>
      <c r="F142">
        <v>10.27</v>
      </c>
      <c r="G142">
        <v>338.7</v>
      </c>
      <c r="H142">
        <v>7.77</v>
      </c>
      <c r="I142">
        <v>394</v>
      </c>
      <c r="J142">
        <f t="shared" si="12"/>
        <v>2.881190926275992</v>
      </c>
      <c r="K142">
        <f t="shared" ref="K142" si="19">J142*2</f>
        <v>5.7623818525519841</v>
      </c>
      <c r="L142">
        <f t="shared" ref="L142:L147" si="20">G142/E142</f>
        <v>3.7662626487267872</v>
      </c>
      <c r="M142">
        <f t="shared" si="11"/>
        <v>2</v>
      </c>
      <c r="N142" s="1" t="s">
        <v>40</v>
      </c>
      <c r="O142" t="s">
        <v>26</v>
      </c>
      <c r="P142" t="s">
        <v>38</v>
      </c>
    </row>
    <row r="143" spans="1:16" x14ac:dyDescent="0.2">
      <c r="A143" t="s">
        <v>41</v>
      </c>
      <c r="B143">
        <v>1</v>
      </c>
      <c r="C143" t="s">
        <v>1</v>
      </c>
      <c r="D143">
        <v>1</v>
      </c>
      <c r="E143">
        <v>89.61</v>
      </c>
      <c r="F143">
        <v>9.5299999999999994</v>
      </c>
      <c r="G143">
        <v>338.58</v>
      </c>
      <c r="H143">
        <v>7.6</v>
      </c>
      <c r="I143">
        <v>394</v>
      </c>
      <c r="J143">
        <f t="shared" si="12"/>
        <v>2.8904553063274188</v>
      </c>
      <c r="K143">
        <f t="shared" ref="K143:K144" si="21">J143*2</f>
        <v>5.7809106126548375</v>
      </c>
      <c r="L143">
        <f t="shared" si="20"/>
        <v>3.7783729494476059</v>
      </c>
      <c r="M143">
        <f t="shared" si="11"/>
        <v>2</v>
      </c>
      <c r="N143" s="1" t="s">
        <v>40</v>
      </c>
      <c r="O143" t="s">
        <v>32</v>
      </c>
      <c r="P143" t="s">
        <v>38</v>
      </c>
    </row>
    <row r="144" spans="1:16" x14ac:dyDescent="0.2">
      <c r="A144" t="s">
        <v>41</v>
      </c>
      <c r="B144">
        <v>2</v>
      </c>
      <c r="C144" t="s">
        <v>1</v>
      </c>
      <c r="D144">
        <v>1</v>
      </c>
      <c r="E144">
        <v>89.82</v>
      </c>
      <c r="F144">
        <v>7.87</v>
      </c>
      <c r="G144">
        <v>338.8</v>
      </c>
      <c r="H144">
        <v>6.26</v>
      </c>
      <c r="I144">
        <v>394</v>
      </c>
      <c r="J144">
        <f t="shared" si="12"/>
        <v>2.8855711422845696</v>
      </c>
      <c r="K144">
        <f t="shared" si="21"/>
        <v>5.7711422845691391</v>
      </c>
      <c r="L144">
        <f t="shared" si="20"/>
        <v>3.7719884212870189</v>
      </c>
      <c r="M144">
        <f t="shared" si="11"/>
        <v>2</v>
      </c>
      <c r="N144" s="1" t="s">
        <v>40</v>
      </c>
      <c r="O144" t="s">
        <v>32</v>
      </c>
      <c r="P144" t="s">
        <v>38</v>
      </c>
    </row>
    <row r="145" spans="1:16" x14ac:dyDescent="0.2">
      <c r="A145" t="s">
        <v>41</v>
      </c>
      <c r="B145">
        <v>2</v>
      </c>
      <c r="C145" t="s">
        <v>1</v>
      </c>
      <c r="D145">
        <v>1</v>
      </c>
      <c r="E145">
        <v>90.94</v>
      </c>
      <c r="F145">
        <v>7.54</v>
      </c>
      <c r="G145">
        <v>342.2</v>
      </c>
      <c r="H145">
        <v>6.3</v>
      </c>
      <c r="I145">
        <v>394</v>
      </c>
      <c r="J145">
        <f t="shared" si="12"/>
        <v>2.8786342643501213</v>
      </c>
      <c r="K145">
        <f>J145*2</f>
        <v>5.7572685287002425</v>
      </c>
      <c r="L145">
        <f t="shared" si="20"/>
        <v>3.7629206069936223</v>
      </c>
      <c r="M145">
        <f t="shared" si="11"/>
        <v>2</v>
      </c>
      <c r="N145" s="1" t="s">
        <v>40</v>
      </c>
      <c r="O145" t="s">
        <v>26</v>
      </c>
      <c r="P145" t="s">
        <v>38</v>
      </c>
    </row>
    <row r="146" spans="1:16" x14ac:dyDescent="0.2">
      <c r="A146" t="s">
        <v>41</v>
      </c>
      <c r="B146">
        <v>3</v>
      </c>
      <c r="C146" t="s">
        <v>1</v>
      </c>
      <c r="D146">
        <v>1</v>
      </c>
      <c r="E146">
        <v>91.99</v>
      </c>
      <c r="F146">
        <v>8.24</v>
      </c>
      <c r="G146">
        <v>344.73</v>
      </c>
      <c r="H146">
        <v>5.13</v>
      </c>
      <c r="I146">
        <v>394</v>
      </c>
      <c r="J146">
        <f t="shared" si="12"/>
        <v>2.8668165017936738</v>
      </c>
      <c r="K146">
        <f>J146*2</f>
        <v>5.7336330035873475</v>
      </c>
      <c r="L146">
        <f t="shared" si="20"/>
        <v>3.7474725513642793</v>
      </c>
      <c r="M146">
        <f t="shared" si="11"/>
        <v>2</v>
      </c>
      <c r="N146" s="1" t="s">
        <v>40</v>
      </c>
      <c r="O146" t="s">
        <v>26</v>
      </c>
      <c r="P146" t="s">
        <v>38</v>
      </c>
    </row>
    <row r="147" spans="1:16" x14ac:dyDescent="0.2">
      <c r="A147" t="s">
        <v>41</v>
      </c>
      <c r="B147">
        <v>3</v>
      </c>
      <c r="C147" t="s">
        <v>1</v>
      </c>
      <c r="D147">
        <v>1</v>
      </c>
      <c r="E147">
        <v>91.23</v>
      </c>
      <c r="F147">
        <v>7.76</v>
      </c>
      <c r="G147">
        <v>344.83</v>
      </c>
      <c r="H147">
        <v>6.24</v>
      </c>
      <c r="I147">
        <v>394</v>
      </c>
      <c r="J147">
        <f t="shared" si="12"/>
        <v>2.8915373232489308</v>
      </c>
      <c r="K147">
        <f>J147*2</f>
        <v>5.7830746464978615</v>
      </c>
      <c r="L147">
        <f t="shared" si="20"/>
        <v>3.7797873506521973</v>
      </c>
      <c r="M147">
        <f t="shared" si="11"/>
        <v>2</v>
      </c>
      <c r="N147" s="1" t="s">
        <v>40</v>
      </c>
      <c r="O147" t="s">
        <v>32</v>
      </c>
      <c r="P147" t="s">
        <v>38</v>
      </c>
    </row>
    <row r="148" spans="1:16" x14ac:dyDescent="0.2">
      <c r="A148" t="s">
        <v>41</v>
      </c>
      <c r="B148">
        <v>4</v>
      </c>
      <c r="C148" t="s">
        <v>1</v>
      </c>
      <c r="D148">
        <v>1</v>
      </c>
      <c r="G148">
        <v>101.2</v>
      </c>
      <c r="H148">
        <v>8.77</v>
      </c>
      <c r="I148">
        <v>335</v>
      </c>
      <c r="N148" s="1" t="s">
        <v>40</v>
      </c>
      <c r="P148" t="s">
        <v>38</v>
      </c>
    </row>
    <row r="149" spans="1:16" x14ac:dyDescent="0.2">
      <c r="A149" t="s">
        <v>42</v>
      </c>
      <c r="B149">
        <v>1</v>
      </c>
      <c r="C149" t="s">
        <v>39</v>
      </c>
      <c r="D149">
        <v>1</v>
      </c>
      <c r="E149">
        <v>105.4</v>
      </c>
      <c r="F149">
        <v>10.43</v>
      </c>
      <c r="G149">
        <v>261.82</v>
      </c>
      <c r="H149">
        <v>6.51</v>
      </c>
      <c r="I149">
        <v>355</v>
      </c>
      <c r="J149">
        <f>G149/E149*2.045</f>
        <v>5.0799041745730547</v>
      </c>
      <c r="K149">
        <f>J149*2</f>
        <v>10.159808349146109</v>
      </c>
      <c r="L149">
        <f t="shared" ref="L149" si="22">G149/E149</f>
        <v>2.4840607210626184</v>
      </c>
      <c r="M149">
        <f t="shared" ref="M149:M235" si="23">IF(L149&lt;=3,2,IF(AND(L149&gt;=3,L149&lt;=4),3,4))</f>
        <v>2</v>
      </c>
      <c r="N149" s="1" t="s">
        <v>40</v>
      </c>
      <c r="O149" t="s">
        <v>26</v>
      </c>
      <c r="P149" t="s">
        <v>38</v>
      </c>
    </row>
    <row r="150" spans="1:16" x14ac:dyDescent="0.2">
      <c r="A150" t="s">
        <v>42</v>
      </c>
      <c r="B150">
        <v>1</v>
      </c>
      <c r="C150" t="s">
        <v>39</v>
      </c>
      <c r="D150">
        <v>1</v>
      </c>
      <c r="E150">
        <v>105.23</v>
      </c>
      <c r="F150">
        <v>11.2</v>
      </c>
      <c r="G150">
        <v>261.24</v>
      </c>
      <c r="H150">
        <v>6.92</v>
      </c>
      <c r="I150">
        <v>355</v>
      </c>
      <c r="J150">
        <f>G150/E150*2.045</f>
        <v>5.0768393043808793</v>
      </c>
      <c r="K150">
        <f>J150*2</f>
        <v>10.153678608761759</v>
      </c>
      <c r="L150">
        <f t="shared" ref="L150:L157" si="24">G150/E150</f>
        <v>2.482562007032215</v>
      </c>
      <c r="M150">
        <f t="shared" si="23"/>
        <v>2</v>
      </c>
      <c r="N150" s="1" t="s">
        <v>40</v>
      </c>
      <c r="O150" t="s">
        <v>32</v>
      </c>
      <c r="P150" t="s">
        <v>38</v>
      </c>
    </row>
    <row r="151" spans="1:16" x14ac:dyDescent="0.2">
      <c r="A151" t="s">
        <v>42</v>
      </c>
      <c r="B151">
        <v>2</v>
      </c>
      <c r="C151" t="s">
        <v>39</v>
      </c>
      <c r="D151">
        <v>1</v>
      </c>
      <c r="E151">
        <v>107.86</v>
      </c>
      <c r="F151">
        <v>9.9700000000000006</v>
      </c>
      <c r="G151">
        <v>269.44</v>
      </c>
      <c r="H151">
        <v>5.76</v>
      </c>
      <c r="I151">
        <v>355</v>
      </c>
      <c r="J151">
        <f t="shared" ref="J151:J157" si="25">G151/E151*2.045</f>
        <v>5.1085184498423883</v>
      </c>
      <c r="K151">
        <f t="shared" ref="K151:K235" si="26">J151*2</f>
        <v>10.217036899684777</v>
      </c>
      <c r="L151">
        <f t="shared" si="24"/>
        <v>2.4980530317077694</v>
      </c>
      <c r="M151">
        <f t="shared" si="23"/>
        <v>2</v>
      </c>
      <c r="N151" s="1" t="s">
        <v>40</v>
      </c>
      <c r="O151" t="s">
        <v>32</v>
      </c>
      <c r="P151" t="s">
        <v>38</v>
      </c>
    </row>
    <row r="152" spans="1:16" x14ac:dyDescent="0.2">
      <c r="A152" t="s">
        <v>42</v>
      </c>
      <c r="B152">
        <v>2</v>
      </c>
      <c r="C152" t="s">
        <v>39</v>
      </c>
      <c r="D152">
        <v>1</v>
      </c>
      <c r="E152">
        <v>108.67</v>
      </c>
      <c r="F152">
        <v>7.84</v>
      </c>
      <c r="G152">
        <v>269.98</v>
      </c>
      <c r="H152">
        <v>5.17</v>
      </c>
      <c r="I152">
        <v>355</v>
      </c>
      <c r="J152">
        <f t="shared" si="25"/>
        <v>5.0806027422471702</v>
      </c>
      <c r="K152">
        <f t="shared" si="26"/>
        <v>10.16120548449434</v>
      </c>
      <c r="L152">
        <f t="shared" si="24"/>
        <v>2.4844023189472715</v>
      </c>
      <c r="M152">
        <f t="shared" si="23"/>
        <v>2</v>
      </c>
      <c r="N152" s="1" t="s">
        <v>40</v>
      </c>
      <c r="O152" t="s">
        <v>26</v>
      </c>
      <c r="P152" t="s">
        <v>38</v>
      </c>
    </row>
    <row r="153" spans="1:16" x14ac:dyDescent="0.2">
      <c r="A153" t="s">
        <v>42</v>
      </c>
      <c r="B153">
        <v>3</v>
      </c>
      <c r="C153" t="s">
        <v>39</v>
      </c>
      <c r="D153">
        <v>1</v>
      </c>
      <c r="E153">
        <v>107.23</v>
      </c>
      <c r="F153">
        <v>7.88</v>
      </c>
      <c r="G153">
        <v>267.60000000000002</v>
      </c>
      <c r="H153">
        <v>5.36</v>
      </c>
      <c r="I153">
        <v>355</v>
      </c>
      <c r="J153">
        <f t="shared" si="25"/>
        <v>5.103441201156393</v>
      </c>
      <c r="K153">
        <f t="shared" si="26"/>
        <v>10.206882402312786</v>
      </c>
      <c r="L153">
        <f t="shared" si="24"/>
        <v>2.4955702695141286</v>
      </c>
      <c r="M153">
        <f t="shared" si="23"/>
        <v>2</v>
      </c>
      <c r="N153" s="1" t="s">
        <v>40</v>
      </c>
      <c r="O153" t="s">
        <v>26</v>
      </c>
      <c r="P153" t="s">
        <v>38</v>
      </c>
    </row>
    <row r="154" spans="1:16" x14ac:dyDescent="0.2">
      <c r="A154" t="s">
        <v>42</v>
      </c>
      <c r="B154">
        <v>3</v>
      </c>
      <c r="C154" t="s">
        <v>39</v>
      </c>
      <c r="D154">
        <v>1</v>
      </c>
      <c r="E154">
        <v>106.72</v>
      </c>
      <c r="F154">
        <v>9.85</v>
      </c>
      <c r="G154">
        <v>266.38</v>
      </c>
      <c r="H154">
        <v>5.92</v>
      </c>
      <c r="I154">
        <v>355</v>
      </c>
      <c r="J154">
        <f t="shared" si="25"/>
        <v>5.1044518365817089</v>
      </c>
      <c r="K154">
        <f t="shared" si="26"/>
        <v>10.208903673163418</v>
      </c>
      <c r="L154">
        <f t="shared" si="24"/>
        <v>2.496064467766117</v>
      </c>
      <c r="M154">
        <f t="shared" si="23"/>
        <v>2</v>
      </c>
      <c r="N154" s="1" t="s">
        <v>40</v>
      </c>
      <c r="O154" t="s">
        <v>32</v>
      </c>
      <c r="P154" t="s">
        <v>38</v>
      </c>
    </row>
    <row r="155" spans="1:16" x14ac:dyDescent="0.2">
      <c r="A155" t="s">
        <v>43</v>
      </c>
      <c r="B155">
        <v>1</v>
      </c>
      <c r="C155" t="s">
        <v>39</v>
      </c>
      <c r="D155">
        <v>1</v>
      </c>
      <c r="E155">
        <v>116.66</v>
      </c>
      <c r="F155">
        <v>9.42</v>
      </c>
      <c r="G155">
        <v>434.95</v>
      </c>
      <c r="H155">
        <v>5.17</v>
      </c>
      <c r="I155">
        <v>355</v>
      </c>
      <c r="J155">
        <f t="shared" si="25"/>
        <v>7.6244878278758792</v>
      </c>
      <c r="K155">
        <f t="shared" si="26"/>
        <v>15.248975655751758</v>
      </c>
      <c r="L155">
        <f t="shared" si="24"/>
        <v>3.7283559060517746</v>
      </c>
      <c r="M155">
        <f t="shared" si="23"/>
        <v>3</v>
      </c>
      <c r="N155" s="1" t="s">
        <v>40</v>
      </c>
      <c r="O155" t="s">
        <v>32</v>
      </c>
      <c r="P155" t="s">
        <v>38</v>
      </c>
    </row>
    <row r="156" spans="1:16" x14ac:dyDescent="0.2">
      <c r="A156" t="s">
        <v>43</v>
      </c>
      <c r="B156">
        <v>1</v>
      </c>
      <c r="C156" t="s">
        <v>39</v>
      </c>
      <c r="D156">
        <v>1</v>
      </c>
      <c r="E156">
        <v>117.13</v>
      </c>
      <c r="F156">
        <v>9.0500000000000007</v>
      </c>
      <c r="G156">
        <v>436.77</v>
      </c>
      <c r="H156">
        <v>4.57</v>
      </c>
      <c r="I156">
        <v>355</v>
      </c>
      <c r="J156">
        <f t="shared" si="25"/>
        <v>7.625669341757022</v>
      </c>
      <c r="K156">
        <f t="shared" si="26"/>
        <v>15.251338683514044</v>
      </c>
      <c r="L156">
        <f t="shared" si="24"/>
        <v>3.7289336634508667</v>
      </c>
      <c r="M156">
        <f t="shared" si="23"/>
        <v>3</v>
      </c>
      <c r="N156" s="1" t="s">
        <v>40</v>
      </c>
      <c r="O156" t="s">
        <v>26</v>
      </c>
      <c r="P156" t="s">
        <v>38</v>
      </c>
    </row>
    <row r="157" spans="1:16" x14ac:dyDescent="0.2">
      <c r="A157" t="s">
        <v>43</v>
      </c>
      <c r="B157">
        <v>2</v>
      </c>
      <c r="C157" t="s">
        <v>39</v>
      </c>
      <c r="D157">
        <v>1</v>
      </c>
      <c r="E157">
        <v>118.55</v>
      </c>
      <c r="F157">
        <v>8.57</v>
      </c>
      <c r="G157">
        <v>437.9</v>
      </c>
      <c r="H157">
        <v>4.79</v>
      </c>
      <c r="I157">
        <v>355</v>
      </c>
      <c r="J157">
        <f t="shared" si="25"/>
        <v>7.5538211725010536</v>
      </c>
      <c r="K157">
        <f t="shared" si="26"/>
        <v>15.107642345002107</v>
      </c>
      <c r="L157">
        <f t="shared" si="24"/>
        <v>3.6938000843525938</v>
      </c>
      <c r="M157">
        <f t="shared" si="23"/>
        <v>3</v>
      </c>
      <c r="N157" s="1" t="s">
        <v>40</v>
      </c>
      <c r="O157" t="s">
        <v>26</v>
      </c>
      <c r="P157" t="s">
        <v>38</v>
      </c>
    </row>
    <row r="158" spans="1:16" x14ac:dyDescent="0.2">
      <c r="A158" t="s">
        <v>43</v>
      </c>
      <c r="B158">
        <v>2</v>
      </c>
      <c r="C158" t="s">
        <v>39</v>
      </c>
      <c r="D158">
        <v>1</v>
      </c>
      <c r="E158">
        <v>116.83</v>
      </c>
      <c r="F158">
        <v>9.31</v>
      </c>
      <c r="G158">
        <v>436.46</v>
      </c>
      <c r="H158">
        <v>4.97</v>
      </c>
      <c r="I158">
        <v>355</v>
      </c>
      <c r="J158">
        <f t="shared" ref="J158:J235" si="27">G158/E158*2.045</f>
        <v>7.6398245313703663</v>
      </c>
      <c r="K158">
        <f t="shared" si="26"/>
        <v>15.279649062740733</v>
      </c>
      <c r="L158">
        <f t="shared" ref="L158:L235" si="28">G158/E158</f>
        <v>3.7358555165625265</v>
      </c>
      <c r="M158">
        <f t="shared" si="23"/>
        <v>3</v>
      </c>
      <c r="N158" s="1" t="s">
        <v>40</v>
      </c>
      <c r="O158" t="s">
        <v>32</v>
      </c>
      <c r="P158" t="s">
        <v>38</v>
      </c>
    </row>
    <row r="159" spans="1:16" x14ac:dyDescent="0.2">
      <c r="A159" t="s">
        <v>43</v>
      </c>
      <c r="B159">
        <v>3</v>
      </c>
      <c r="C159" t="s">
        <v>39</v>
      </c>
      <c r="D159">
        <v>1</v>
      </c>
      <c r="E159">
        <v>116.05</v>
      </c>
      <c r="F159">
        <v>10.8</v>
      </c>
      <c r="G159">
        <v>438.54</v>
      </c>
      <c r="H159">
        <v>4.93</v>
      </c>
      <c r="I159">
        <v>355</v>
      </c>
      <c r="J159">
        <f t="shared" si="27"/>
        <v>7.7278267987936236</v>
      </c>
      <c r="K159">
        <f t="shared" si="26"/>
        <v>15.455653597587247</v>
      </c>
      <c r="L159">
        <f t="shared" si="28"/>
        <v>3.7788884101680313</v>
      </c>
      <c r="M159">
        <f t="shared" si="23"/>
        <v>3</v>
      </c>
      <c r="N159" s="1" t="s">
        <v>40</v>
      </c>
      <c r="O159" t="s">
        <v>32</v>
      </c>
      <c r="P159" t="s">
        <v>38</v>
      </c>
    </row>
    <row r="160" spans="1:16" x14ac:dyDescent="0.2">
      <c r="A160" t="s">
        <v>43</v>
      </c>
      <c r="B160">
        <v>3</v>
      </c>
      <c r="C160" t="s">
        <v>39</v>
      </c>
      <c r="D160">
        <v>1</v>
      </c>
      <c r="E160">
        <v>117.22</v>
      </c>
      <c r="F160">
        <v>9.42</v>
      </c>
      <c r="G160">
        <v>438.59</v>
      </c>
      <c r="H160">
        <v>5.2</v>
      </c>
      <c r="I160">
        <v>355</v>
      </c>
      <c r="J160">
        <f t="shared" si="27"/>
        <v>7.6515658590684179</v>
      </c>
      <c r="K160">
        <f t="shared" si="26"/>
        <v>15.303131718136836</v>
      </c>
      <c r="L160">
        <f t="shared" si="28"/>
        <v>3.7415969970994709</v>
      </c>
      <c r="M160">
        <f t="shared" si="23"/>
        <v>3</v>
      </c>
      <c r="N160" s="1" t="s">
        <v>40</v>
      </c>
      <c r="O160" t="s">
        <v>26</v>
      </c>
      <c r="P160" t="s">
        <v>38</v>
      </c>
    </row>
    <row r="161" spans="1:16" x14ac:dyDescent="0.2">
      <c r="A161" t="s">
        <v>44</v>
      </c>
      <c r="B161">
        <v>1</v>
      </c>
      <c r="C161" t="s">
        <v>39</v>
      </c>
      <c r="D161">
        <v>1</v>
      </c>
      <c r="E161">
        <v>114.51</v>
      </c>
      <c r="F161">
        <v>11.86</v>
      </c>
      <c r="G161">
        <v>272.32</v>
      </c>
      <c r="H161">
        <v>5.6</v>
      </c>
      <c r="I161">
        <v>355</v>
      </c>
      <c r="J161">
        <f t="shared" si="27"/>
        <v>4.8632818094489556</v>
      </c>
      <c r="K161">
        <f t="shared" si="26"/>
        <v>9.7265636188979112</v>
      </c>
      <c r="L161">
        <f t="shared" si="28"/>
        <v>2.3781329141559686</v>
      </c>
      <c r="M161">
        <f t="shared" si="23"/>
        <v>2</v>
      </c>
      <c r="N161" s="1" t="s">
        <v>40</v>
      </c>
      <c r="O161" t="s">
        <v>32</v>
      </c>
      <c r="P161" t="s">
        <v>38</v>
      </c>
    </row>
    <row r="162" spans="1:16" x14ac:dyDescent="0.2">
      <c r="A162" t="s">
        <v>44</v>
      </c>
      <c r="B162">
        <v>1</v>
      </c>
      <c r="C162" t="s">
        <v>39</v>
      </c>
      <c r="D162">
        <v>1</v>
      </c>
      <c r="E162">
        <v>116.88</v>
      </c>
      <c r="F162">
        <v>9.1</v>
      </c>
      <c r="G162">
        <v>273.63</v>
      </c>
      <c r="H162">
        <v>5.0599999999999996</v>
      </c>
      <c r="I162">
        <v>355</v>
      </c>
      <c r="J162">
        <f t="shared" si="27"/>
        <v>4.7875885523613961</v>
      </c>
      <c r="K162">
        <f t="shared" si="26"/>
        <v>9.5751771047227923</v>
      </c>
      <c r="L162">
        <f t="shared" si="28"/>
        <v>2.3411190965092401</v>
      </c>
      <c r="M162">
        <f t="shared" si="23"/>
        <v>2</v>
      </c>
      <c r="N162" s="1" t="s">
        <v>40</v>
      </c>
      <c r="O162" t="s">
        <v>26</v>
      </c>
      <c r="P162" t="s">
        <v>38</v>
      </c>
    </row>
    <row r="163" spans="1:16" x14ac:dyDescent="0.2">
      <c r="A163" t="s">
        <v>44</v>
      </c>
      <c r="B163">
        <v>2</v>
      </c>
      <c r="C163" t="s">
        <v>39</v>
      </c>
      <c r="D163">
        <v>1</v>
      </c>
      <c r="E163">
        <v>119.89</v>
      </c>
      <c r="F163">
        <v>8.58</v>
      </c>
      <c r="G163">
        <v>273.27999999999997</v>
      </c>
      <c r="H163">
        <v>4.97</v>
      </c>
      <c r="I163">
        <v>355</v>
      </c>
      <c r="J163">
        <f t="shared" si="27"/>
        <v>4.6614196346651084</v>
      </c>
      <c r="K163">
        <f t="shared" si="26"/>
        <v>9.3228392693302169</v>
      </c>
      <c r="L163">
        <f t="shared" si="28"/>
        <v>2.2794228042372171</v>
      </c>
      <c r="M163">
        <f t="shared" si="23"/>
        <v>2</v>
      </c>
      <c r="N163" s="1" t="s">
        <v>40</v>
      </c>
      <c r="O163" t="s">
        <v>26</v>
      </c>
      <c r="P163" t="s">
        <v>38</v>
      </c>
    </row>
    <row r="164" spans="1:16" x14ac:dyDescent="0.2">
      <c r="A164" t="s">
        <v>44</v>
      </c>
      <c r="B164">
        <v>2</v>
      </c>
      <c r="C164" t="s">
        <v>39</v>
      </c>
      <c r="D164">
        <v>1</v>
      </c>
      <c r="E164">
        <v>115.93</v>
      </c>
      <c r="F164">
        <v>10.49</v>
      </c>
      <c r="G164">
        <v>271.82</v>
      </c>
      <c r="H164">
        <v>5.69</v>
      </c>
      <c r="I164">
        <v>355</v>
      </c>
      <c r="J164">
        <f t="shared" si="27"/>
        <v>4.7948926076080385</v>
      </c>
      <c r="K164">
        <f t="shared" si="26"/>
        <v>9.589785215216077</v>
      </c>
      <c r="L164">
        <f t="shared" si="28"/>
        <v>2.3446907616665227</v>
      </c>
      <c r="M164">
        <f t="shared" si="23"/>
        <v>2</v>
      </c>
      <c r="N164" s="1" t="s">
        <v>40</v>
      </c>
      <c r="O164" t="s">
        <v>32</v>
      </c>
      <c r="P164" t="s">
        <v>38</v>
      </c>
    </row>
    <row r="165" spans="1:16" x14ac:dyDescent="0.2">
      <c r="A165" t="s">
        <v>44</v>
      </c>
      <c r="B165">
        <v>3</v>
      </c>
      <c r="C165" t="s">
        <v>39</v>
      </c>
      <c r="D165">
        <v>1</v>
      </c>
      <c r="E165">
        <v>114.56</v>
      </c>
      <c r="F165">
        <v>10.1</v>
      </c>
      <c r="G165">
        <v>271.93</v>
      </c>
      <c r="H165">
        <v>5.53</v>
      </c>
      <c r="I165">
        <v>355</v>
      </c>
      <c r="J165">
        <f t="shared" si="27"/>
        <v>4.854197363826815</v>
      </c>
      <c r="K165">
        <f t="shared" si="26"/>
        <v>9.70839472765363</v>
      </c>
      <c r="L165">
        <f t="shared" si="28"/>
        <v>2.3736906424581004</v>
      </c>
      <c r="M165">
        <f t="shared" si="23"/>
        <v>2</v>
      </c>
      <c r="N165" s="1" t="s">
        <v>40</v>
      </c>
      <c r="O165" t="s">
        <v>32</v>
      </c>
      <c r="P165" t="s">
        <v>38</v>
      </c>
    </row>
    <row r="166" spans="1:16" x14ac:dyDescent="0.2">
      <c r="A166" t="s">
        <v>44</v>
      </c>
      <c r="B166">
        <v>3</v>
      </c>
      <c r="C166" t="s">
        <v>39</v>
      </c>
      <c r="D166">
        <v>1</v>
      </c>
      <c r="E166">
        <v>115.71</v>
      </c>
      <c r="F166">
        <v>8.61</v>
      </c>
      <c r="G166">
        <v>272.45999999999998</v>
      </c>
      <c r="H166">
        <v>5.3</v>
      </c>
      <c r="I166">
        <v>355</v>
      </c>
      <c r="J166">
        <f t="shared" si="27"/>
        <v>4.8153201970443344</v>
      </c>
      <c r="K166">
        <f t="shared" si="26"/>
        <v>9.6306403940886689</v>
      </c>
      <c r="L166">
        <f t="shared" si="28"/>
        <v>2.354679802955665</v>
      </c>
      <c r="M166">
        <f t="shared" si="23"/>
        <v>2</v>
      </c>
      <c r="N166" s="1" t="s">
        <v>40</v>
      </c>
      <c r="O166" t="s">
        <v>26</v>
      </c>
      <c r="P166" t="s">
        <v>38</v>
      </c>
    </row>
    <row r="167" spans="1:16" x14ac:dyDescent="0.2">
      <c r="A167" t="s">
        <v>45</v>
      </c>
      <c r="B167">
        <v>1</v>
      </c>
      <c r="C167" t="s">
        <v>39</v>
      </c>
      <c r="D167">
        <v>1</v>
      </c>
      <c r="E167">
        <v>125.1</v>
      </c>
      <c r="F167">
        <v>9.75</v>
      </c>
      <c r="G167">
        <v>531.97</v>
      </c>
      <c r="H167">
        <v>4.58</v>
      </c>
      <c r="I167">
        <v>355</v>
      </c>
      <c r="J167">
        <f t="shared" si="27"/>
        <v>8.6960723421262998</v>
      </c>
      <c r="K167">
        <f t="shared" si="26"/>
        <v>17.3921446842526</v>
      </c>
      <c r="L167">
        <f t="shared" si="28"/>
        <v>4.2523581135091932</v>
      </c>
      <c r="M167">
        <f t="shared" si="23"/>
        <v>4</v>
      </c>
      <c r="N167" s="1" t="s">
        <v>40</v>
      </c>
      <c r="O167" t="s">
        <v>26</v>
      </c>
      <c r="P167" t="s">
        <v>38</v>
      </c>
    </row>
    <row r="168" spans="1:16" x14ac:dyDescent="0.2">
      <c r="A168" t="s">
        <v>45</v>
      </c>
      <c r="B168">
        <v>1</v>
      </c>
      <c r="C168" t="s">
        <v>39</v>
      </c>
      <c r="D168">
        <v>1</v>
      </c>
      <c r="E168">
        <v>127.17</v>
      </c>
      <c r="F168">
        <v>9.0500000000000007</v>
      </c>
      <c r="G168">
        <v>531.52</v>
      </c>
      <c r="H168">
        <v>4.99</v>
      </c>
      <c r="I168">
        <v>355</v>
      </c>
      <c r="J168">
        <f t="shared" si="27"/>
        <v>8.5472863096642282</v>
      </c>
      <c r="K168">
        <f t="shared" si="26"/>
        <v>17.094572619328456</v>
      </c>
      <c r="L168">
        <f t="shared" si="28"/>
        <v>4.1796021074152705</v>
      </c>
      <c r="M168">
        <f t="shared" si="23"/>
        <v>4</v>
      </c>
      <c r="N168" s="1" t="s">
        <v>40</v>
      </c>
      <c r="O168" t="s">
        <v>32</v>
      </c>
      <c r="P168" t="s">
        <v>38</v>
      </c>
    </row>
    <row r="169" spans="1:16" x14ac:dyDescent="0.2">
      <c r="A169" t="s">
        <v>45</v>
      </c>
      <c r="B169">
        <v>2</v>
      </c>
      <c r="C169" t="s">
        <v>39</v>
      </c>
      <c r="D169">
        <v>1</v>
      </c>
      <c r="E169">
        <v>124.85</v>
      </c>
      <c r="F169">
        <v>10.77</v>
      </c>
      <c r="G169">
        <v>526.46</v>
      </c>
      <c r="H169">
        <v>5.44</v>
      </c>
      <c r="I169">
        <v>355</v>
      </c>
      <c r="J169">
        <f t="shared" si="27"/>
        <v>8.6232334801762125</v>
      </c>
      <c r="K169">
        <f t="shared" si="26"/>
        <v>17.246466960352425</v>
      </c>
      <c r="L169">
        <f t="shared" si="28"/>
        <v>4.2167400881057278</v>
      </c>
      <c r="M169">
        <f t="shared" si="23"/>
        <v>4</v>
      </c>
      <c r="N169" s="1" t="s">
        <v>40</v>
      </c>
      <c r="O169" t="s">
        <v>32</v>
      </c>
      <c r="P169" t="s">
        <v>38</v>
      </c>
    </row>
    <row r="170" spans="1:16" x14ac:dyDescent="0.2">
      <c r="A170" t="s">
        <v>45</v>
      </c>
      <c r="B170">
        <v>2</v>
      </c>
      <c r="C170" t="s">
        <v>39</v>
      </c>
      <c r="D170">
        <v>1</v>
      </c>
      <c r="E170">
        <v>124.85</v>
      </c>
      <c r="F170">
        <v>8.7899999999999991</v>
      </c>
      <c r="G170">
        <v>527.39</v>
      </c>
      <c r="H170">
        <v>4.9000000000000004</v>
      </c>
      <c r="I170">
        <v>355</v>
      </c>
      <c r="J170">
        <f t="shared" si="27"/>
        <v>8.638466559871846</v>
      </c>
      <c r="K170">
        <f t="shared" si="26"/>
        <v>17.276933119743692</v>
      </c>
      <c r="L170">
        <f t="shared" si="28"/>
        <v>4.2241890268321987</v>
      </c>
      <c r="M170">
        <f t="shared" si="23"/>
        <v>4</v>
      </c>
      <c r="N170" s="1" t="s">
        <v>40</v>
      </c>
      <c r="O170" t="s">
        <v>26</v>
      </c>
      <c r="P170" t="s">
        <v>38</v>
      </c>
    </row>
    <row r="171" spans="1:16" x14ac:dyDescent="0.2">
      <c r="A171" t="s">
        <v>45</v>
      </c>
      <c r="B171">
        <v>3</v>
      </c>
      <c r="C171" t="s">
        <v>39</v>
      </c>
      <c r="D171">
        <v>1</v>
      </c>
      <c r="E171">
        <v>122.88</v>
      </c>
      <c r="F171">
        <v>9.81</v>
      </c>
      <c r="G171">
        <v>526.23</v>
      </c>
      <c r="H171">
        <v>5.4</v>
      </c>
      <c r="I171">
        <v>355</v>
      </c>
      <c r="J171">
        <f t="shared" si="27"/>
        <v>8.7576525878906253</v>
      </c>
      <c r="K171">
        <f t="shared" si="26"/>
        <v>17.515305175781251</v>
      </c>
      <c r="L171">
        <f t="shared" si="28"/>
        <v>4.282470703125</v>
      </c>
      <c r="M171">
        <f t="shared" si="23"/>
        <v>4</v>
      </c>
      <c r="N171" s="1" t="s">
        <v>40</v>
      </c>
      <c r="O171" t="s">
        <v>26</v>
      </c>
      <c r="P171" t="s">
        <v>38</v>
      </c>
    </row>
    <row r="172" spans="1:16" x14ac:dyDescent="0.2">
      <c r="A172" t="s">
        <v>45</v>
      </c>
      <c r="B172">
        <v>3</v>
      </c>
      <c r="C172" t="s">
        <v>39</v>
      </c>
      <c r="D172">
        <v>1</v>
      </c>
      <c r="E172">
        <v>122.37</v>
      </c>
      <c r="F172">
        <v>11.78</v>
      </c>
      <c r="G172">
        <v>525.65</v>
      </c>
      <c r="H172">
        <v>5.71</v>
      </c>
      <c r="I172">
        <v>355</v>
      </c>
      <c r="J172">
        <f t="shared" si="27"/>
        <v>8.7844590177331039</v>
      </c>
      <c r="K172">
        <f t="shared" si="26"/>
        <v>17.568918035466208</v>
      </c>
      <c r="L172">
        <f t="shared" si="28"/>
        <v>4.295578981776579</v>
      </c>
      <c r="M172">
        <f t="shared" si="23"/>
        <v>4</v>
      </c>
      <c r="N172" s="1" t="s">
        <v>40</v>
      </c>
      <c r="O172" t="s">
        <v>32</v>
      </c>
      <c r="P172" t="s">
        <v>38</v>
      </c>
    </row>
    <row r="173" spans="1:16" x14ac:dyDescent="0.2">
      <c r="A173" t="s">
        <v>0</v>
      </c>
      <c r="B173">
        <v>1</v>
      </c>
      <c r="C173" t="s">
        <v>39</v>
      </c>
      <c r="D173">
        <v>1</v>
      </c>
      <c r="E173">
        <v>113.2</v>
      </c>
      <c r="F173">
        <v>13.39</v>
      </c>
      <c r="G173">
        <v>513.71</v>
      </c>
      <c r="H173">
        <v>7.44</v>
      </c>
      <c r="I173">
        <v>355</v>
      </c>
      <c r="J173">
        <f t="shared" si="27"/>
        <v>9.2803617491166079</v>
      </c>
      <c r="K173">
        <f t="shared" si="26"/>
        <v>18.560723498233216</v>
      </c>
      <c r="L173">
        <f t="shared" si="28"/>
        <v>4.5380742049469971</v>
      </c>
      <c r="M173">
        <f t="shared" si="23"/>
        <v>4</v>
      </c>
      <c r="N173" s="1" t="s">
        <v>40</v>
      </c>
      <c r="O173" t="s">
        <v>32</v>
      </c>
      <c r="P173" t="s">
        <v>38</v>
      </c>
    </row>
    <row r="174" spans="1:16" x14ac:dyDescent="0.2">
      <c r="A174" t="s">
        <v>0</v>
      </c>
      <c r="B174">
        <v>1</v>
      </c>
      <c r="C174" t="s">
        <v>39</v>
      </c>
      <c r="D174">
        <v>1</v>
      </c>
      <c r="E174">
        <v>113.93</v>
      </c>
      <c r="F174">
        <v>10.01</v>
      </c>
      <c r="G174">
        <v>515.95000000000005</v>
      </c>
      <c r="H174">
        <v>6.08</v>
      </c>
      <c r="I174">
        <v>355</v>
      </c>
      <c r="J174">
        <f t="shared" si="27"/>
        <v>9.2611055033792677</v>
      </c>
      <c r="K174">
        <f t="shared" si="26"/>
        <v>18.522211006758535</v>
      </c>
      <c r="L174">
        <f t="shared" si="28"/>
        <v>4.5286579478627225</v>
      </c>
      <c r="M174">
        <f t="shared" si="23"/>
        <v>4</v>
      </c>
      <c r="N174" s="1" t="s">
        <v>40</v>
      </c>
      <c r="O174" t="s">
        <v>26</v>
      </c>
      <c r="P174" t="s">
        <v>38</v>
      </c>
    </row>
    <row r="175" spans="1:16" x14ac:dyDescent="0.2">
      <c r="A175" t="s">
        <v>0</v>
      </c>
      <c r="B175">
        <v>2</v>
      </c>
      <c r="C175" t="s">
        <v>39</v>
      </c>
      <c r="D175">
        <v>1</v>
      </c>
      <c r="E175">
        <v>114.65</v>
      </c>
      <c r="F175">
        <v>10.65</v>
      </c>
      <c r="G175">
        <v>511.37</v>
      </c>
      <c r="H175">
        <v>7.59</v>
      </c>
      <c r="I175">
        <v>355</v>
      </c>
      <c r="J175">
        <f t="shared" si="27"/>
        <v>9.1212529437418226</v>
      </c>
      <c r="K175">
        <f t="shared" si="26"/>
        <v>18.242505887483645</v>
      </c>
      <c r="L175">
        <f t="shared" si="28"/>
        <v>4.4602703881378103</v>
      </c>
      <c r="M175">
        <f t="shared" si="23"/>
        <v>4</v>
      </c>
      <c r="N175" s="1" t="s">
        <v>40</v>
      </c>
      <c r="O175" t="s">
        <v>26</v>
      </c>
      <c r="P175" t="s">
        <v>38</v>
      </c>
    </row>
    <row r="176" spans="1:16" x14ac:dyDescent="0.2">
      <c r="A176" t="s">
        <v>0</v>
      </c>
      <c r="B176">
        <v>2</v>
      </c>
      <c r="C176" t="s">
        <v>39</v>
      </c>
      <c r="D176">
        <v>1</v>
      </c>
      <c r="E176">
        <v>114.18</v>
      </c>
      <c r="F176">
        <v>11.92</v>
      </c>
      <c r="G176">
        <v>512.69000000000005</v>
      </c>
      <c r="H176">
        <v>7.33</v>
      </c>
      <c r="I176">
        <v>355</v>
      </c>
      <c r="J176">
        <f t="shared" si="27"/>
        <v>9.1824404449115438</v>
      </c>
      <c r="K176">
        <f t="shared" si="26"/>
        <v>18.364880889823088</v>
      </c>
      <c r="L176">
        <f t="shared" si="28"/>
        <v>4.4901909266071121</v>
      </c>
      <c r="M176">
        <f t="shared" si="23"/>
        <v>4</v>
      </c>
      <c r="N176" s="1" t="s">
        <v>40</v>
      </c>
      <c r="O176" t="s">
        <v>32</v>
      </c>
      <c r="P176" t="s">
        <v>38</v>
      </c>
    </row>
    <row r="177" spans="1:16" x14ac:dyDescent="0.2">
      <c r="A177" t="s">
        <v>0</v>
      </c>
      <c r="B177">
        <v>3</v>
      </c>
      <c r="C177" t="s">
        <v>39</v>
      </c>
      <c r="D177">
        <v>1</v>
      </c>
      <c r="E177">
        <v>113.67</v>
      </c>
      <c r="F177">
        <v>11.65</v>
      </c>
      <c r="G177">
        <v>503.03</v>
      </c>
      <c r="H177">
        <v>8.2899999999999991</v>
      </c>
      <c r="I177">
        <v>355</v>
      </c>
      <c r="J177">
        <f t="shared" si="27"/>
        <v>9.0498491246591009</v>
      </c>
      <c r="K177">
        <f t="shared" si="26"/>
        <v>18.099698249318202</v>
      </c>
      <c r="L177">
        <f t="shared" si="28"/>
        <v>4.4253540951878243</v>
      </c>
      <c r="M177">
        <f t="shared" si="23"/>
        <v>4</v>
      </c>
      <c r="N177" s="1" t="s">
        <v>40</v>
      </c>
      <c r="O177" t="s">
        <v>32</v>
      </c>
      <c r="P177" t="s">
        <v>38</v>
      </c>
    </row>
    <row r="178" spans="1:16" x14ac:dyDescent="0.2">
      <c r="A178" t="s">
        <v>0</v>
      </c>
      <c r="B178">
        <v>3</v>
      </c>
      <c r="C178" t="s">
        <v>39</v>
      </c>
      <c r="D178">
        <v>1</v>
      </c>
      <c r="E178">
        <v>114.8</v>
      </c>
      <c r="F178">
        <v>10.71</v>
      </c>
      <c r="G178">
        <v>511.31</v>
      </c>
      <c r="H178">
        <v>7.01</v>
      </c>
      <c r="I178">
        <v>355</v>
      </c>
      <c r="J178">
        <f t="shared" si="27"/>
        <v>9.1082661149825768</v>
      </c>
      <c r="K178">
        <f t="shared" si="26"/>
        <v>18.216532229965154</v>
      </c>
      <c r="L178">
        <f t="shared" si="28"/>
        <v>4.4539198606271775</v>
      </c>
      <c r="M178">
        <f t="shared" si="23"/>
        <v>4</v>
      </c>
      <c r="N178" s="1" t="s">
        <v>40</v>
      </c>
      <c r="O178" t="s">
        <v>26</v>
      </c>
      <c r="P178" t="s">
        <v>38</v>
      </c>
    </row>
    <row r="179" spans="1:16" x14ac:dyDescent="0.2">
      <c r="A179" t="s">
        <v>2</v>
      </c>
      <c r="B179">
        <v>1</v>
      </c>
      <c r="C179" t="s">
        <v>39</v>
      </c>
      <c r="D179">
        <v>1</v>
      </c>
      <c r="E179">
        <v>100.41</v>
      </c>
      <c r="F179">
        <v>10.62</v>
      </c>
      <c r="G179">
        <v>294.54000000000002</v>
      </c>
      <c r="H179">
        <v>5.31</v>
      </c>
      <c r="I179">
        <v>355</v>
      </c>
      <c r="J179">
        <f t="shared" si="27"/>
        <v>5.998748132656111</v>
      </c>
      <c r="K179">
        <f t="shared" si="26"/>
        <v>11.997496265312222</v>
      </c>
      <c r="L179">
        <f t="shared" si="28"/>
        <v>2.9333731700029881</v>
      </c>
      <c r="M179">
        <f t="shared" si="23"/>
        <v>2</v>
      </c>
      <c r="N179" s="1" t="s">
        <v>40</v>
      </c>
      <c r="O179" t="s">
        <v>26</v>
      </c>
      <c r="P179" t="s">
        <v>38</v>
      </c>
    </row>
    <row r="180" spans="1:16" x14ac:dyDescent="0.2">
      <c r="A180" t="s">
        <v>2</v>
      </c>
      <c r="B180">
        <v>1</v>
      </c>
      <c r="C180" t="s">
        <v>39</v>
      </c>
      <c r="D180">
        <v>1</v>
      </c>
      <c r="E180">
        <v>100.39</v>
      </c>
      <c r="F180">
        <v>11.62</v>
      </c>
      <c r="G180">
        <v>293.01</v>
      </c>
      <c r="H180">
        <v>6.2</v>
      </c>
      <c r="I180">
        <v>355</v>
      </c>
      <c r="J180">
        <f t="shared" si="27"/>
        <v>5.968776272537105</v>
      </c>
      <c r="K180">
        <f t="shared" si="26"/>
        <v>11.93755254507421</v>
      </c>
      <c r="L180">
        <f t="shared" si="28"/>
        <v>2.918717003685626</v>
      </c>
      <c r="M180">
        <f t="shared" si="23"/>
        <v>2</v>
      </c>
      <c r="N180" s="1" t="s">
        <v>40</v>
      </c>
      <c r="O180" t="s">
        <v>32</v>
      </c>
      <c r="P180" t="s">
        <v>38</v>
      </c>
    </row>
    <row r="181" spans="1:16" x14ac:dyDescent="0.2">
      <c r="A181" t="s">
        <v>2</v>
      </c>
      <c r="B181">
        <v>2</v>
      </c>
      <c r="C181" t="s">
        <v>39</v>
      </c>
      <c r="D181">
        <v>1</v>
      </c>
      <c r="E181">
        <v>97.99</v>
      </c>
      <c r="F181">
        <v>13.74</v>
      </c>
      <c r="G181">
        <v>292.79000000000002</v>
      </c>
      <c r="H181">
        <v>6.19</v>
      </c>
      <c r="I181">
        <v>355</v>
      </c>
      <c r="J181">
        <f t="shared" si="27"/>
        <v>6.1103740177569152</v>
      </c>
      <c r="K181">
        <f t="shared" si="26"/>
        <v>12.22074803551383</v>
      </c>
      <c r="L181">
        <f t="shared" si="28"/>
        <v>2.987957954893357</v>
      </c>
      <c r="M181">
        <f t="shared" si="23"/>
        <v>2</v>
      </c>
      <c r="N181" s="1" t="s">
        <v>40</v>
      </c>
      <c r="O181" t="s">
        <v>32</v>
      </c>
      <c r="P181" t="s">
        <v>38</v>
      </c>
    </row>
    <row r="182" spans="1:16" x14ac:dyDescent="0.2">
      <c r="A182" t="s">
        <v>2</v>
      </c>
      <c r="B182">
        <v>2</v>
      </c>
      <c r="C182" t="s">
        <v>39</v>
      </c>
      <c r="D182">
        <v>1</v>
      </c>
      <c r="E182">
        <v>98.81</v>
      </c>
      <c r="F182">
        <v>10.84</v>
      </c>
      <c r="G182">
        <v>292.63</v>
      </c>
      <c r="H182">
        <v>5.7</v>
      </c>
      <c r="I182">
        <v>355</v>
      </c>
      <c r="J182">
        <f t="shared" si="27"/>
        <v>6.0563541139560773</v>
      </c>
      <c r="K182">
        <f t="shared" si="26"/>
        <v>12.112708227912155</v>
      </c>
      <c r="L182">
        <f t="shared" si="28"/>
        <v>2.9615423540127517</v>
      </c>
      <c r="M182">
        <f t="shared" si="23"/>
        <v>2</v>
      </c>
      <c r="N182" s="1" t="s">
        <v>40</v>
      </c>
      <c r="O182" t="s">
        <v>26</v>
      </c>
      <c r="P182" t="s">
        <v>38</v>
      </c>
    </row>
    <row r="183" spans="1:16" x14ac:dyDescent="0.2">
      <c r="A183" t="s">
        <v>2</v>
      </c>
      <c r="B183">
        <v>3</v>
      </c>
      <c r="C183" t="s">
        <v>39</v>
      </c>
      <c r="D183">
        <v>1</v>
      </c>
      <c r="E183">
        <v>111</v>
      </c>
      <c r="F183">
        <v>11.69</v>
      </c>
      <c r="G183">
        <v>326.19</v>
      </c>
      <c r="H183">
        <v>5.24</v>
      </c>
      <c r="I183">
        <v>360</v>
      </c>
      <c r="J183">
        <f t="shared" si="27"/>
        <v>6.0095364864864864</v>
      </c>
      <c r="K183">
        <f t="shared" si="26"/>
        <v>12.019072972972973</v>
      </c>
      <c r="L183">
        <f t="shared" si="28"/>
        <v>2.9386486486486487</v>
      </c>
      <c r="M183">
        <f t="shared" si="23"/>
        <v>2</v>
      </c>
      <c r="N183" s="1" t="s">
        <v>40</v>
      </c>
      <c r="O183" t="s">
        <v>26</v>
      </c>
      <c r="P183" t="s">
        <v>38</v>
      </c>
    </row>
    <row r="184" spans="1:16" x14ac:dyDescent="0.2">
      <c r="A184" t="s">
        <v>2</v>
      </c>
      <c r="B184">
        <v>3</v>
      </c>
      <c r="C184" t="s">
        <v>39</v>
      </c>
      <c r="D184">
        <v>1</v>
      </c>
      <c r="E184">
        <v>111.16</v>
      </c>
      <c r="F184">
        <v>13.37</v>
      </c>
      <c r="G184">
        <v>325.08</v>
      </c>
      <c r="H184">
        <v>6.18</v>
      </c>
      <c r="I184">
        <v>360</v>
      </c>
      <c r="J184">
        <f t="shared" si="27"/>
        <v>5.9804659949622163</v>
      </c>
      <c r="K184">
        <f t="shared" si="26"/>
        <v>11.960931989924433</v>
      </c>
      <c r="L184">
        <f t="shared" si="28"/>
        <v>2.9244332493702769</v>
      </c>
      <c r="M184">
        <f t="shared" si="23"/>
        <v>2</v>
      </c>
      <c r="N184" s="1" t="s">
        <v>40</v>
      </c>
      <c r="O184" t="s">
        <v>32</v>
      </c>
      <c r="P184" t="s">
        <v>38</v>
      </c>
    </row>
    <row r="185" spans="1:16" x14ac:dyDescent="0.2">
      <c r="A185" t="s">
        <v>3</v>
      </c>
      <c r="B185">
        <v>1</v>
      </c>
      <c r="C185" t="s">
        <v>39</v>
      </c>
      <c r="D185">
        <v>1</v>
      </c>
      <c r="E185">
        <v>104.55</v>
      </c>
      <c r="F185">
        <v>13.77</v>
      </c>
      <c r="G185">
        <v>297.11</v>
      </c>
      <c r="H185">
        <v>6.97</v>
      </c>
      <c r="I185">
        <v>360</v>
      </c>
      <c r="J185">
        <f t="shared" si="27"/>
        <v>5.8114772835963651</v>
      </c>
      <c r="K185">
        <f t="shared" si="26"/>
        <v>11.62295456719273</v>
      </c>
      <c r="L185">
        <f t="shared" si="28"/>
        <v>2.8417981826877092</v>
      </c>
      <c r="M185">
        <f t="shared" si="23"/>
        <v>2</v>
      </c>
      <c r="N185" s="1" t="s">
        <v>40</v>
      </c>
      <c r="O185" t="s">
        <v>32</v>
      </c>
      <c r="P185" t="s">
        <v>38</v>
      </c>
    </row>
    <row r="186" spans="1:16" x14ac:dyDescent="0.2">
      <c r="A186" t="s">
        <v>3</v>
      </c>
      <c r="B186">
        <v>1</v>
      </c>
      <c r="C186" t="s">
        <v>39</v>
      </c>
      <c r="D186">
        <v>1</v>
      </c>
      <c r="E186">
        <v>105.73</v>
      </c>
      <c r="F186">
        <v>11.09</v>
      </c>
      <c r="G186">
        <v>298.76</v>
      </c>
      <c r="H186">
        <v>7.17</v>
      </c>
      <c r="I186">
        <v>360</v>
      </c>
      <c r="J186">
        <f t="shared" si="27"/>
        <v>5.7785321100917431</v>
      </c>
      <c r="K186">
        <f t="shared" si="26"/>
        <v>11.557064220183486</v>
      </c>
      <c r="L186">
        <f t="shared" si="28"/>
        <v>2.8256880733944953</v>
      </c>
      <c r="M186">
        <f t="shared" si="23"/>
        <v>2</v>
      </c>
      <c r="N186" s="1" t="s">
        <v>40</v>
      </c>
      <c r="O186" t="s">
        <v>26</v>
      </c>
      <c r="P186" t="s">
        <v>38</v>
      </c>
    </row>
    <row r="187" spans="1:16" x14ac:dyDescent="0.2">
      <c r="A187" t="s">
        <v>3</v>
      </c>
      <c r="B187">
        <v>2</v>
      </c>
      <c r="C187" t="s">
        <v>39</v>
      </c>
      <c r="D187">
        <v>1</v>
      </c>
      <c r="E187">
        <v>105.07</v>
      </c>
      <c r="F187">
        <v>11.09</v>
      </c>
      <c r="G187">
        <v>295.76</v>
      </c>
      <c r="H187">
        <v>7.39</v>
      </c>
      <c r="I187">
        <v>360</v>
      </c>
      <c r="J187">
        <f t="shared" si="27"/>
        <v>5.7564404682592558</v>
      </c>
      <c r="K187">
        <f t="shared" si="26"/>
        <v>11.512880936518512</v>
      </c>
      <c r="L187">
        <f t="shared" si="28"/>
        <v>2.8148853145522033</v>
      </c>
      <c r="M187">
        <f t="shared" si="23"/>
        <v>2</v>
      </c>
      <c r="N187" s="1" t="s">
        <v>40</v>
      </c>
      <c r="O187" t="s">
        <v>26</v>
      </c>
      <c r="P187" t="s">
        <v>38</v>
      </c>
    </row>
    <row r="188" spans="1:16" x14ac:dyDescent="0.2">
      <c r="A188" t="s">
        <v>3</v>
      </c>
      <c r="B188">
        <v>2</v>
      </c>
      <c r="C188" t="s">
        <v>39</v>
      </c>
      <c r="D188">
        <v>1</v>
      </c>
      <c r="E188">
        <v>105.18</v>
      </c>
      <c r="F188">
        <v>13.96</v>
      </c>
      <c r="G188">
        <v>294.61</v>
      </c>
      <c r="H188">
        <v>7.74</v>
      </c>
      <c r="I188">
        <v>360</v>
      </c>
      <c r="J188">
        <f t="shared" si="27"/>
        <v>5.7280609431450848</v>
      </c>
      <c r="K188">
        <f t="shared" si="26"/>
        <v>11.45612188629017</v>
      </c>
      <c r="L188">
        <f t="shared" si="28"/>
        <v>2.8010077961589657</v>
      </c>
      <c r="M188">
        <f t="shared" si="23"/>
        <v>2</v>
      </c>
      <c r="N188" s="1" t="s">
        <v>40</v>
      </c>
      <c r="O188" t="s">
        <v>32</v>
      </c>
      <c r="P188" t="s">
        <v>38</v>
      </c>
    </row>
    <row r="189" spans="1:16" x14ac:dyDescent="0.2">
      <c r="A189" t="s">
        <v>3</v>
      </c>
      <c r="B189">
        <v>3</v>
      </c>
      <c r="C189" t="s">
        <v>39</v>
      </c>
      <c r="D189">
        <v>1</v>
      </c>
      <c r="E189">
        <v>101.8</v>
      </c>
      <c r="F189">
        <v>13.46</v>
      </c>
      <c r="G189">
        <v>289.29000000000002</v>
      </c>
      <c r="H189">
        <v>8.4600000000000009</v>
      </c>
      <c r="I189">
        <v>360</v>
      </c>
      <c r="J189">
        <f t="shared" si="27"/>
        <v>5.8113757367387038</v>
      </c>
      <c r="K189">
        <f t="shared" si="26"/>
        <v>11.622751473477408</v>
      </c>
      <c r="L189">
        <f t="shared" si="28"/>
        <v>2.8417485265225935</v>
      </c>
      <c r="M189">
        <f t="shared" si="23"/>
        <v>2</v>
      </c>
      <c r="N189" s="1" t="s">
        <v>40</v>
      </c>
      <c r="O189" t="s">
        <v>32</v>
      </c>
      <c r="P189" t="s">
        <v>38</v>
      </c>
    </row>
    <row r="190" spans="1:16" x14ac:dyDescent="0.2">
      <c r="A190" t="s">
        <v>3</v>
      </c>
      <c r="B190">
        <v>3</v>
      </c>
      <c r="C190" t="s">
        <v>39</v>
      </c>
      <c r="D190">
        <v>1</v>
      </c>
      <c r="E190">
        <v>101.85</v>
      </c>
      <c r="F190">
        <v>13.14</v>
      </c>
      <c r="G190">
        <v>290.39</v>
      </c>
      <c r="H190">
        <v>8.09</v>
      </c>
      <c r="I190">
        <v>360</v>
      </c>
      <c r="J190">
        <f t="shared" si="27"/>
        <v>5.8306092292587142</v>
      </c>
      <c r="K190">
        <f t="shared" si="26"/>
        <v>11.661218458517428</v>
      </c>
      <c r="L190">
        <f t="shared" si="28"/>
        <v>2.8511536573392244</v>
      </c>
      <c r="M190">
        <f t="shared" si="23"/>
        <v>2</v>
      </c>
      <c r="N190" s="1" t="s">
        <v>40</v>
      </c>
      <c r="O190" t="s">
        <v>26</v>
      </c>
      <c r="P190" t="s">
        <v>38</v>
      </c>
    </row>
    <row r="191" spans="1:16" x14ac:dyDescent="0.2">
      <c r="A191" t="s">
        <v>4</v>
      </c>
      <c r="B191">
        <v>1</v>
      </c>
      <c r="C191" t="s">
        <v>39</v>
      </c>
      <c r="D191">
        <v>1</v>
      </c>
      <c r="E191">
        <v>110.79</v>
      </c>
      <c r="F191">
        <v>12.34</v>
      </c>
      <c r="G191">
        <v>378.15</v>
      </c>
      <c r="H191">
        <v>7.07</v>
      </c>
      <c r="I191">
        <v>360</v>
      </c>
      <c r="J191">
        <f t="shared" si="27"/>
        <v>6.9800230165177348</v>
      </c>
      <c r="K191">
        <f t="shared" si="26"/>
        <v>13.96004603303547</v>
      </c>
      <c r="L191">
        <f t="shared" si="28"/>
        <v>3.4132141890062275</v>
      </c>
      <c r="M191">
        <f t="shared" si="23"/>
        <v>3</v>
      </c>
      <c r="N191" s="1" t="s">
        <v>40</v>
      </c>
      <c r="O191" t="s">
        <v>26</v>
      </c>
      <c r="P191" t="s">
        <v>38</v>
      </c>
    </row>
    <row r="192" spans="1:16" x14ac:dyDescent="0.2">
      <c r="A192" t="s">
        <v>4</v>
      </c>
      <c r="B192">
        <v>1</v>
      </c>
      <c r="C192" t="s">
        <v>39</v>
      </c>
      <c r="D192">
        <v>1</v>
      </c>
      <c r="E192">
        <v>109.14</v>
      </c>
      <c r="F192">
        <v>14.15</v>
      </c>
      <c r="G192">
        <v>375.62</v>
      </c>
      <c r="H192">
        <v>7.22</v>
      </c>
      <c r="I192">
        <v>360</v>
      </c>
      <c r="J192">
        <f t="shared" si="27"/>
        <v>7.0381427524280742</v>
      </c>
      <c r="K192">
        <f t="shared" si="26"/>
        <v>14.076285504856148</v>
      </c>
      <c r="L192">
        <f t="shared" si="28"/>
        <v>3.4416345977643394</v>
      </c>
      <c r="M192">
        <f t="shared" si="23"/>
        <v>3</v>
      </c>
      <c r="N192" s="1" t="s">
        <v>40</v>
      </c>
      <c r="O192" t="s">
        <v>32</v>
      </c>
      <c r="P192" t="s">
        <v>38</v>
      </c>
    </row>
    <row r="193" spans="1:17" x14ac:dyDescent="0.2">
      <c r="A193" t="s">
        <v>4</v>
      </c>
      <c r="B193">
        <v>2</v>
      </c>
      <c r="C193" t="s">
        <v>39</v>
      </c>
      <c r="D193">
        <v>1</v>
      </c>
      <c r="E193">
        <v>111.35</v>
      </c>
      <c r="F193">
        <v>11.2</v>
      </c>
      <c r="G193">
        <v>379.02</v>
      </c>
      <c r="H193">
        <v>6.67</v>
      </c>
      <c r="I193">
        <v>360</v>
      </c>
      <c r="J193">
        <f t="shared" si="27"/>
        <v>6.9608971710821725</v>
      </c>
      <c r="K193">
        <f t="shared" si="26"/>
        <v>13.921794342164345</v>
      </c>
      <c r="L193">
        <f t="shared" si="28"/>
        <v>3.4038616973506959</v>
      </c>
      <c r="M193">
        <f t="shared" si="23"/>
        <v>3</v>
      </c>
      <c r="N193" s="1" t="s">
        <v>40</v>
      </c>
      <c r="O193" t="s">
        <v>32</v>
      </c>
      <c r="P193" t="s">
        <v>38</v>
      </c>
    </row>
    <row r="194" spans="1:17" x14ac:dyDescent="0.2">
      <c r="A194" t="s">
        <v>4</v>
      </c>
      <c r="B194">
        <v>2</v>
      </c>
      <c r="C194" t="s">
        <v>39</v>
      </c>
      <c r="D194">
        <v>1</v>
      </c>
      <c r="E194">
        <v>111.87</v>
      </c>
      <c r="F194">
        <v>9.69</v>
      </c>
      <c r="G194">
        <v>378.57</v>
      </c>
      <c r="H194">
        <v>7.02</v>
      </c>
      <c r="I194">
        <v>360</v>
      </c>
      <c r="J194">
        <f t="shared" si="27"/>
        <v>6.9203150978814696</v>
      </c>
      <c r="K194">
        <f t="shared" si="26"/>
        <v>13.840630195762939</v>
      </c>
      <c r="L194">
        <f t="shared" si="28"/>
        <v>3.3840171627782247</v>
      </c>
      <c r="M194">
        <f t="shared" si="23"/>
        <v>3</v>
      </c>
      <c r="N194" s="1" t="s">
        <v>40</v>
      </c>
      <c r="O194" t="s">
        <v>26</v>
      </c>
      <c r="P194" t="s">
        <v>38</v>
      </c>
      <c r="Q194" t="s">
        <v>47</v>
      </c>
    </row>
    <row r="195" spans="1:17" x14ac:dyDescent="0.2">
      <c r="A195" t="s">
        <v>5</v>
      </c>
      <c r="B195">
        <v>1</v>
      </c>
      <c r="C195" t="s">
        <v>39</v>
      </c>
      <c r="D195">
        <v>1</v>
      </c>
      <c r="E195">
        <v>110.12</v>
      </c>
      <c r="F195">
        <v>8.3699999999999992</v>
      </c>
      <c r="G195">
        <v>312.73</v>
      </c>
      <c r="H195">
        <v>5.05</v>
      </c>
      <c r="I195">
        <v>350</v>
      </c>
      <c r="J195">
        <f t="shared" si="27"/>
        <v>5.807599436977843</v>
      </c>
      <c r="K195">
        <f t="shared" si="26"/>
        <v>11.615198873955686</v>
      </c>
      <c r="L195">
        <f t="shared" si="28"/>
        <v>2.8399019251725393</v>
      </c>
      <c r="M195">
        <f t="shared" si="23"/>
        <v>2</v>
      </c>
      <c r="N195" s="1" t="s">
        <v>40</v>
      </c>
      <c r="O195" t="s">
        <v>26</v>
      </c>
      <c r="P195" t="s">
        <v>38</v>
      </c>
    </row>
    <row r="196" spans="1:17" x14ac:dyDescent="0.2">
      <c r="A196" t="s">
        <v>5</v>
      </c>
      <c r="B196">
        <v>1</v>
      </c>
      <c r="C196" t="s">
        <v>39</v>
      </c>
      <c r="D196">
        <v>1</v>
      </c>
      <c r="E196">
        <v>109.05</v>
      </c>
      <c r="F196">
        <v>10.62</v>
      </c>
      <c r="G196">
        <v>311.77999999999997</v>
      </c>
      <c r="H196">
        <v>5.64</v>
      </c>
      <c r="I196">
        <v>350</v>
      </c>
      <c r="J196">
        <f t="shared" si="27"/>
        <v>5.8467684548372301</v>
      </c>
      <c r="K196">
        <f t="shared" si="26"/>
        <v>11.69353690967446</v>
      </c>
      <c r="L196">
        <f t="shared" si="28"/>
        <v>2.8590554791380098</v>
      </c>
      <c r="M196">
        <f t="shared" si="23"/>
        <v>2</v>
      </c>
      <c r="N196" s="1" t="s">
        <v>40</v>
      </c>
      <c r="O196" t="s">
        <v>32</v>
      </c>
      <c r="P196" t="s">
        <v>38</v>
      </c>
    </row>
    <row r="197" spans="1:17" x14ac:dyDescent="0.2">
      <c r="A197" t="s">
        <v>5</v>
      </c>
      <c r="B197">
        <v>2</v>
      </c>
      <c r="C197" t="s">
        <v>39</v>
      </c>
      <c r="D197">
        <v>1</v>
      </c>
      <c r="E197">
        <v>110.47</v>
      </c>
      <c r="F197">
        <v>9.1199999999999992</v>
      </c>
      <c r="G197">
        <v>314.70999999999998</v>
      </c>
      <c r="H197">
        <v>5.57</v>
      </c>
      <c r="I197">
        <v>350</v>
      </c>
      <c r="J197">
        <f t="shared" si="27"/>
        <v>5.8258527201955275</v>
      </c>
      <c r="K197">
        <f t="shared" si="26"/>
        <v>11.651705440391055</v>
      </c>
      <c r="L197">
        <f t="shared" si="28"/>
        <v>2.8488277360369327</v>
      </c>
      <c r="M197">
        <f t="shared" si="23"/>
        <v>2</v>
      </c>
      <c r="N197" s="1" t="s">
        <v>40</v>
      </c>
      <c r="O197" t="s">
        <v>32</v>
      </c>
      <c r="P197" t="s">
        <v>38</v>
      </c>
    </row>
    <row r="198" spans="1:17" x14ac:dyDescent="0.2">
      <c r="A198" t="s">
        <v>5</v>
      </c>
      <c r="B198">
        <v>2</v>
      </c>
      <c r="C198" t="s">
        <v>39</v>
      </c>
      <c r="D198">
        <v>1</v>
      </c>
      <c r="E198">
        <v>111.28</v>
      </c>
      <c r="F198">
        <v>8.4700000000000006</v>
      </c>
      <c r="G198">
        <v>316.61</v>
      </c>
      <c r="H198">
        <v>5.0599999999999996</v>
      </c>
      <c r="I198">
        <v>350</v>
      </c>
      <c r="J198">
        <f t="shared" si="27"/>
        <v>5.8183631380301941</v>
      </c>
      <c r="K198">
        <f t="shared" si="26"/>
        <v>11.636726276060388</v>
      </c>
      <c r="L198">
        <f t="shared" si="28"/>
        <v>2.8451653486700215</v>
      </c>
      <c r="M198">
        <f t="shared" si="23"/>
        <v>2</v>
      </c>
      <c r="N198" s="1" t="s">
        <v>40</v>
      </c>
      <c r="O198" t="s">
        <v>26</v>
      </c>
      <c r="P198" t="s">
        <v>38</v>
      </c>
    </row>
    <row r="199" spans="1:17" x14ac:dyDescent="0.2">
      <c r="A199" t="s">
        <v>5</v>
      </c>
      <c r="B199">
        <v>3</v>
      </c>
      <c r="C199" t="s">
        <v>39</v>
      </c>
      <c r="D199">
        <v>1</v>
      </c>
      <c r="E199">
        <v>110.85</v>
      </c>
      <c r="F199">
        <v>8.2200000000000006</v>
      </c>
      <c r="G199">
        <v>314.01</v>
      </c>
      <c r="H199">
        <v>5.0999999999999996</v>
      </c>
      <c r="I199">
        <v>350</v>
      </c>
      <c r="J199">
        <f t="shared" si="27"/>
        <v>5.7929675236806499</v>
      </c>
      <c r="K199">
        <f t="shared" si="26"/>
        <v>11.5859350473613</v>
      </c>
      <c r="L199">
        <f t="shared" si="28"/>
        <v>2.832746955345061</v>
      </c>
      <c r="M199">
        <f t="shared" si="23"/>
        <v>2</v>
      </c>
      <c r="N199" s="1" t="s">
        <v>40</v>
      </c>
      <c r="O199" t="s">
        <v>26</v>
      </c>
      <c r="P199" t="s">
        <v>38</v>
      </c>
    </row>
    <row r="200" spans="1:17" x14ac:dyDescent="0.2">
      <c r="A200" t="s">
        <v>5</v>
      </c>
      <c r="B200">
        <v>3</v>
      </c>
      <c r="C200" t="s">
        <v>39</v>
      </c>
      <c r="D200">
        <v>1</v>
      </c>
      <c r="E200">
        <v>110.02</v>
      </c>
      <c r="F200">
        <v>9.23</v>
      </c>
      <c r="G200">
        <v>314.17</v>
      </c>
      <c r="H200">
        <v>5.24</v>
      </c>
      <c r="I200">
        <v>350</v>
      </c>
      <c r="J200">
        <f t="shared" si="27"/>
        <v>5.839644155608072</v>
      </c>
      <c r="K200">
        <f t="shared" si="26"/>
        <v>11.679288311216144</v>
      </c>
      <c r="L200">
        <f t="shared" si="28"/>
        <v>2.855571714233776</v>
      </c>
      <c r="M200">
        <f t="shared" si="23"/>
        <v>2</v>
      </c>
      <c r="N200" s="1" t="s">
        <v>40</v>
      </c>
      <c r="O200" t="s">
        <v>32</v>
      </c>
      <c r="P200" t="s">
        <v>38</v>
      </c>
    </row>
    <row r="201" spans="1:17" x14ac:dyDescent="0.2">
      <c r="A201" t="s">
        <v>6</v>
      </c>
      <c r="B201">
        <v>1</v>
      </c>
      <c r="C201" t="s">
        <v>39</v>
      </c>
      <c r="D201">
        <v>1</v>
      </c>
      <c r="E201">
        <v>110.38</v>
      </c>
      <c r="F201">
        <v>9.02</v>
      </c>
      <c r="G201">
        <v>321.42</v>
      </c>
      <c r="H201">
        <v>5.04</v>
      </c>
      <c r="I201">
        <v>350</v>
      </c>
      <c r="J201">
        <f t="shared" si="27"/>
        <v>5.9549184634897632</v>
      </c>
      <c r="K201">
        <f t="shared" si="26"/>
        <v>11.909836926979526</v>
      </c>
      <c r="L201">
        <f t="shared" si="28"/>
        <v>2.9119405689436495</v>
      </c>
      <c r="M201">
        <f t="shared" si="23"/>
        <v>2</v>
      </c>
      <c r="N201" s="1" t="s">
        <v>40</v>
      </c>
      <c r="O201" t="s">
        <v>32</v>
      </c>
      <c r="P201" t="s">
        <v>38</v>
      </c>
    </row>
    <row r="202" spans="1:17" x14ac:dyDescent="0.2">
      <c r="A202" t="s">
        <v>6</v>
      </c>
      <c r="B202">
        <v>1</v>
      </c>
      <c r="C202" t="s">
        <v>39</v>
      </c>
      <c r="D202">
        <v>1</v>
      </c>
      <c r="E202">
        <v>110.67</v>
      </c>
      <c r="F202">
        <v>9.4600000000000009</v>
      </c>
      <c r="G202">
        <v>321.82</v>
      </c>
      <c r="H202">
        <v>4.9000000000000004</v>
      </c>
      <c r="I202">
        <v>350</v>
      </c>
      <c r="J202">
        <f t="shared" si="27"/>
        <v>5.9467055209180435</v>
      </c>
      <c r="K202">
        <f t="shared" si="26"/>
        <v>11.893411041836087</v>
      </c>
      <c r="L202">
        <f t="shared" si="28"/>
        <v>2.907924460106623</v>
      </c>
      <c r="M202">
        <f t="shared" si="23"/>
        <v>2</v>
      </c>
      <c r="N202" s="1" t="s">
        <v>40</v>
      </c>
      <c r="O202" t="s">
        <v>26</v>
      </c>
      <c r="P202" t="s">
        <v>38</v>
      </c>
    </row>
    <row r="203" spans="1:17" x14ac:dyDescent="0.2">
      <c r="A203" t="s">
        <v>6</v>
      </c>
      <c r="B203">
        <v>2</v>
      </c>
      <c r="C203" t="s">
        <v>39</v>
      </c>
      <c r="D203">
        <v>1</v>
      </c>
      <c r="E203">
        <v>109.14</v>
      </c>
      <c r="F203">
        <v>10.68</v>
      </c>
      <c r="G203">
        <v>318.94</v>
      </c>
      <c r="H203">
        <v>5.3</v>
      </c>
      <c r="I203">
        <v>350</v>
      </c>
      <c r="J203">
        <f t="shared" si="27"/>
        <v>5.9761068352574673</v>
      </c>
      <c r="K203">
        <f t="shared" si="26"/>
        <v>11.952213670514935</v>
      </c>
      <c r="L203">
        <f t="shared" si="28"/>
        <v>2.922301630932747</v>
      </c>
      <c r="M203">
        <f t="shared" si="23"/>
        <v>2</v>
      </c>
      <c r="N203" s="1" t="s">
        <v>40</v>
      </c>
      <c r="O203" t="s">
        <v>26</v>
      </c>
      <c r="P203" t="s">
        <v>38</v>
      </c>
    </row>
    <row r="204" spans="1:17" x14ac:dyDescent="0.2">
      <c r="A204" t="s">
        <v>6</v>
      </c>
      <c r="B204">
        <v>2</v>
      </c>
      <c r="C204" t="s">
        <v>39</v>
      </c>
      <c r="D204">
        <v>1</v>
      </c>
      <c r="E204">
        <v>109.12</v>
      </c>
      <c r="F204">
        <v>9.9</v>
      </c>
      <c r="G204">
        <v>319.27</v>
      </c>
      <c r="H204">
        <v>4.79</v>
      </c>
      <c r="I204">
        <v>350</v>
      </c>
      <c r="J204">
        <f t="shared" si="27"/>
        <v>5.9833866385630499</v>
      </c>
      <c r="K204">
        <f t="shared" si="26"/>
        <v>11.9667732771261</v>
      </c>
      <c r="L204">
        <f t="shared" si="28"/>
        <v>2.9258614369501466</v>
      </c>
      <c r="M204">
        <f t="shared" si="23"/>
        <v>2</v>
      </c>
      <c r="N204" s="1" t="s">
        <v>40</v>
      </c>
      <c r="O204" t="s">
        <v>32</v>
      </c>
      <c r="P204" t="s">
        <v>38</v>
      </c>
    </row>
    <row r="205" spans="1:17" x14ac:dyDescent="0.2">
      <c r="A205" t="s">
        <v>6</v>
      </c>
      <c r="B205">
        <v>3</v>
      </c>
      <c r="C205" t="s">
        <v>39</v>
      </c>
      <c r="D205">
        <v>1</v>
      </c>
      <c r="E205">
        <v>110.95</v>
      </c>
      <c r="F205">
        <v>9.52</v>
      </c>
      <c r="G205">
        <v>319.79000000000002</v>
      </c>
      <c r="H205">
        <v>5.48</v>
      </c>
      <c r="I205">
        <v>350</v>
      </c>
      <c r="J205">
        <f t="shared" si="27"/>
        <v>5.8942816584046875</v>
      </c>
      <c r="K205">
        <f t="shared" si="26"/>
        <v>11.788563316809375</v>
      </c>
      <c r="L205">
        <f t="shared" si="28"/>
        <v>2.8822893195132946</v>
      </c>
      <c r="M205">
        <f t="shared" si="23"/>
        <v>2</v>
      </c>
      <c r="N205" s="1" t="s">
        <v>40</v>
      </c>
      <c r="O205" t="s">
        <v>32</v>
      </c>
      <c r="P205" t="s">
        <v>38</v>
      </c>
    </row>
    <row r="206" spans="1:17" x14ac:dyDescent="0.2">
      <c r="A206" t="s">
        <v>6</v>
      </c>
      <c r="B206">
        <v>3</v>
      </c>
      <c r="C206" t="s">
        <v>39</v>
      </c>
      <c r="D206">
        <v>1</v>
      </c>
      <c r="E206">
        <v>111.06</v>
      </c>
      <c r="F206">
        <v>9.9600000000000009</v>
      </c>
      <c r="G206">
        <v>319.61</v>
      </c>
      <c r="H206">
        <v>5.79</v>
      </c>
      <c r="I206">
        <v>350</v>
      </c>
      <c r="J206">
        <f t="shared" si="27"/>
        <v>5.8851292094363403</v>
      </c>
      <c r="K206">
        <f t="shared" si="26"/>
        <v>11.770258418872681</v>
      </c>
      <c r="L206">
        <f t="shared" si="28"/>
        <v>2.877813794345399</v>
      </c>
      <c r="M206">
        <f t="shared" si="23"/>
        <v>2</v>
      </c>
      <c r="N206" s="1" t="s">
        <v>40</v>
      </c>
      <c r="O206" t="s">
        <v>26</v>
      </c>
      <c r="P206" t="s">
        <v>38</v>
      </c>
    </row>
    <row r="207" spans="1:17" x14ac:dyDescent="0.2">
      <c r="A207" t="s">
        <v>7</v>
      </c>
      <c r="B207">
        <v>1</v>
      </c>
      <c r="C207" t="s">
        <v>39</v>
      </c>
      <c r="D207">
        <v>1</v>
      </c>
      <c r="E207">
        <v>108.69</v>
      </c>
      <c r="F207">
        <v>8.41</v>
      </c>
      <c r="G207">
        <v>292.18</v>
      </c>
      <c r="H207">
        <v>5.97</v>
      </c>
      <c r="I207">
        <v>350</v>
      </c>
      <c r="J207">
        <f t="shared" si="27"/>
        <v>5.4973603827399025</v>
      </c>
      <c r="K207">
        <f t="shared" si="26"/>
        <v>10.994720765479805</v>
      </c>
      <c r="L207">
        <f t="shared" si="28"/>
        <v>2.6881957861808816</v>
      </c>
      <c r="M207">
        <f t="shared" si="23"/>
        <v>2</v>
      </c>
      <c r="N207" s="1" t="s">
        <v>40</v>
      </c>
      <c r="O207" t="s">
        <v>26</v>
      </c>
      <c r="P207" t="s">
        <v>38</v>
      </c>
    </row>
    <row r="208" spans="1:17" x14ac:dyDescent="0.2">
      <c r="A208" t="s">
        <v>7</v>
      </c>
      <c r="B208">
        <v>1</v>
      </c>
      <c r="C208" t="s">
        <v>39</v>
      </c>
      <c r="D208">
        <v>1</v>
      </c>
      <c r="E208">
        <v>108.7</v>
      </c>
      <c r="F208">
        <v>8.77</v>
      </c>
      <c r="G208">
        <v>291.88</v>
      </c>
      <c r="H208">
        <v>6.36</v>
      </c>
      <c r="I208">
        <v>350</v>
      </c>
      <c r="J208">
        <f t="shared" si="27"/>
        <v>5.4912106715731364</v>
      </c>
      <c r="K208">
        <f t="shared" si="26"/>
        <v>10.982421343146273</v>
      </c>
      <c r="L208">
        <f t="shared" si="28"/>
        <v>2.6851885924563015</v>
      </c>
      <c r="M208">
        <f t="shared" si="23"/>
        <v>2</v>
      </c>
      <c r="N208" s="1" t="s">
        <v>40</v>
      </c>
      <c r="O208" t="s">
        <v>32</v>
      </c>
      <c r="P208" t="s">
        <v>38</v>
      </c>
    </row>
    <row r="209" spans="1:16" x14ac:dyDescent="0.2">
      <c r="A209" t="s">
        <v>7</v>
      </c>
      <c r="B209">
        <v>2</v>
      </c>
      <c r="C209" t="s">
        <v>39</v>
      </c>
      <c r="D209">
        <v>1</v>
      </c>
      <c r="E209">
        <v>107.72</v>
      </c>
      <c r="F209">
        <v>10.35</v>
      </c>
      <c r="G209">
        <v>289.45999999999998</v>
      </c>
      <c r="H209">
        <v>5.99</v>
      </c>
      <c r="I209">
        <v>350</v>
      </c>
      <c r="J209">
        <f t="shared" si="27"/>
        <v>5.4952255848496092</v>
      </c>
      <c r="K209">
        <f t="shared" si="26"/>
        <v>10.990451169699218</v>
      </c>
      <c r="L209">
        <f t="shared" si="28"/>
        <v>2.6871518752320829</v>
      </c>
      <c r="M209">
        <f t="shared" si="23"/>
        <v>2</v>
      </c>
      <c r="N209" s="1" t="s">
        <v>40</v>
      </c>
      <c r="O209" t="s">
        <v>32</v>
      </c>
      <c r="P209" t="s">
        <v>38</v>
      </c>
    </row>
    <row r="210" spans="1:16" x14ac:dyDescent="0.2">
      <c r="A210" t="s">
        <v>7</v>
      </c>
      <c r="B210">
        <v>2</v>
      </c>
      <c r="C210" t="s">
        <v>39</v>
      </c>
      <c r="D210">
        <v>1</v>
      </c>
      <c r="E210">
        <v>108.23</v>
      </c>
      <c r="F210">
        <v>9.1199999999999992</v>
      </c>
      <c r="G210">
        <v>290.32</v>
      </c>
      <c r="H210">
        <v>5.95</v>
      </c>
      <c r="I210">
        <v>350</v>
      </c>
      <c r="J210">
        <f t="shared" si="27"/>
        <v>5.4855807077520087</v>
      </c>
      <c r="K210">
        <f t="shared" si="26"/>
        <v>10.971161415504017</v>
      </c>
      <c r="L210">
        <f t="shared" si="28"/>
        <v>2.682435553912963</v>
      </c>
      <c r="M210">
        <f t="shared" si="23"/>
        <v>2</v>
      </c>
      <c r="N210" s="1" t="s">
        <v>40</v>
      </c>
      <c r="O210" t="s">
        <v>26</v>
      </c>
      <c r="P210" t="s">
        <v>38</v>
      </c>
    </row>
    <row r="211" spans="1:16" x14ac:dyDescent="0.2">
      <c r="A211" t="s">
        <v>7</v>
      </c>
      <c r="B211">
        <v>3</v>
      </c>
      <c r="C211" t="s">
        <v>39</v>
      </c>
      <c r="D211">
        <v>1</v>
      </c>
      <c r="E211">
        <v>109.4</v>
      </c>
      <c r="F211">
        <v>8.5500000000000007</v>
      </c>
      <c r="G211">
        <v>296.54000000000002</v>
      </c>
      <c r="H211">
        <v>4.5199999999999996</v>
      </c>
      <c r="I211">
        <v>350</v>
      </c>
      <c r="J211">
        <f t="shared" si="27"/>
        <v>5.5431837294332729</v>
      </c>
      <c r="K211">
        <f t="shared" si="26"/>
        <v>11.086367458866546</v>
      </c>
      <c r="L211">
        <f t="shared" si="28"/>
        <v>2.710603290676417</v>
      </c>
      <c r="M211">
        <f t="shared" si="23"/>
        <v>2</v>
      </c>
      <c r="N211" s="1" t="s">
        <v>40</v>
      </c>
      <c r="O211" t="s">
        <v>26</v>
      </c>
      <c r="P211" t="s">
        <v>38</v>
      </c>
    </row>
    <row r="212" spans="1:16" x14ac:dyDescent="0.2">
      <c r="A212" t="s">
        <v>7</v>
      </c>
      <c r="B212">
        <v>3</v>
      </c>
      <c r="C212" t="s">
        <v>39</v>
      </c>
      <c r="D212">
        <v>1</v>
      </c>
      <c r="E212">
        <v>108.91</v>
      </c>
      <c r="F212">
        <v>8.9600000000000009</v>
      </c>
      <c r="G212">
        <v>294.45</v>
      </c>
      <c r="H212">
        <v>5.63</v>
      </c>
      <c r="I212">
        <v>350</v>
      </c>
      <c r="J212">
        <f t="shared" si="27"/>
        <v>5.5288793499219535</v>
      </c>
      <c r="K212">
        <f t="shared" si="26"/>
        <v>11.057758699843907</v>
      </c>
      <c r="L212">
        <f t="shared" si="28"/>
        <v>2.7036084840694152</v>
      </c>
      <c r="M212">
        <f t="shared" si="23"/>
        <v>2</v>
      </c>
      <c r="N212" s="1" t="s">
        <v>40</v>
      </c>
      <c r="O212" t="s">
        <v>32</v>
      </c>
      <c r="P212" t="s">
        <v>38</v>
      </c>
    </row>
    <row r="213" spans="1:16" x14ac:dyDescent="0.2">
      <c r="A213" t="s">
        <v>8</v>
      </c>
      <c r="B213">
        <v>1</v>
      </c>
      <c r="C213" t="s">
        <v>39</v>
      </c>
      <c r="D213">
        <v>1</v>
      </c>
      <c r="E213">
        <v>98.43</v>
      </c>
      <c r="F213">
        <v>10.17</v>
      </c>
      <c r="G213">
        <v>306.79000000000002</v>
      </c>
      <c r="H213">
        <v>7.01</v>
      </c>
      <c r="I213">
        <v>350</v>
      </c>
      <c r="J213">
        <f t="shared" si="27"/>
        <v>6.3739261404043477</v>
      </c>
      <c r="K213">
        <f t="shared" si="26"/>
        <v>12.747852280808695</v>
      </c>
      <c r="L213">
        <f t="shared" si="28"/>
        <v>3.1168342984862338</v>
      </c>
      <c r="M213">
        <f t="shared" si="23"/>
        <v>3</v>
      </c>
      <c r="N213" s="1" t="s">
        <v>40</v>
      </c>
      <c r="O213" t="s">
        <v>32</v>
      </c>
      <c r="P213" t="s">
        <v>38</v>
      </c>
    </row>
    <row r="214" spans="1:16" x14ac:dyDescent="0.2">
      <c r="A214" t="s">
        <v>8</v>
      </c>
      <c r="B214">
        <v>1</v>
      </c>
      <c r="C214" t="s">
        <v>39</v>
      </c>
      <c r="D214">
        <v>1</v>
      </c>
      <c r="E214">
        <v>98.83</v>
      </c>
      <c r="F214">
        <v>9.8800000000000008</v>
      </c>
      <c r="G214">
        <v>307.87</v>
      </c>
      <c r="H214">
        <v>6.31</v>
      </c>
      <c r="I214">
        <v>350</v>
      </c>
      <c r="J214">
        <f t="shared" si="27"/>
        <v>6.3704760700192251</v>
      </c>
      <c r="K214">
        <f t="shared" si="26"/>
        <v>12.74095214003845</v>
      </c>
      <c r="L214">
        <f t="shared" si="28"/>
        <v>3.1151472225032886</v>
      </c>
      <c r="M214">
        <f t="shared" si="23"/>
        <v>3</v>
      </c>
      <c r="N214" s="1" t="s">
        <v>40</v>
      </c>
      <c r="O214" t="s">
        <v>26</v>
      </c>
      <c r="P214" t="s">
        <v>38</v>
      </c>
    </row>
    <row r="215" spans="1:16" x14ac:dyDescent="0.2">
      <c r="A215" t="s">
        <v>8</v>
      </c>
      <c r="B215">
        <v>2</v>
      </c>
      <c r="C215" t="s">
        <v>39</v>
      </c>
      <c r="D215">
        <v>1</v>
      </c>
      <c r="E215">
        <v>99.75</v>
      </c>
      <c r="F215">
        <v>9.77</v>
      </c>
      <c r="G215">
        <v>306.48</v>
      </c>
      <c r="H215">
        <v>7.13</v>
      </c>
      <c r="I215">
        <v>350</v>
      </c>
      <c r="J215">
        <f t="shared" si="27"/>
        <v>6.2832240601503759</v>
      </c>
      <c r="K215">
        <f t="shared" si="26"/>
        <v>12.566448120300752</v>
      </c>
      <c r="L215">
        <f t="shared" si="28"/>
        <v>3.072481203007519</v>
      </c>
      <c r="M215">
        <f t="shared" si="23"/>
        <v>3</v>
      </c>
      <c r="N215" s="1" t="s">
        <v>40</v>
      </c>
      <c r="O215" t="s">
        <v>26</v>
      </c>
      <c r="P215" t="s">
        <v>38</v>
      </c>
    </row>
    <row r="216" spans="1:16" x14ac:dyDescent="0.2">
      <c r="A216" t="s">
        <v>8</v>
      </c>
      <c r="B216">
        <v>2</v>
      </c>
      <c r="C216" t="s">
        <v>39</v>
      </c>
      <c r="D216">
        <v>1</v>
      </c>
      <c r="E216">
        <v>99.18</v>
      </c>
      <c r="F216">
        <v>10.23</v>
      </c>
      <c r="G216">
        <v>305.39999999999998</v>
      </c>
      <c r="H216">
        <v>7.48</v>
      </c>
      <c r="I216">
        <v>350</v>
      </c>
      <c r="J216">
        <f t="shared" si="27"/>
        <v>6.2970659407138525</v>
      </c>
      <c r="K216">
        <f t="shared" si="26"/>
        <v>12.594131881427705</v>
      </c>
      <c r="L216">
        <f t="shared" si="28"/>
        <v>3.0792498487598303</v>
      </c>
      <c r="M216">
        <f t="shared" si="23"/>
        <v>3</v>
      </c>
      <c r="N216" s="1" t="s">
        <v>40</v>
      </c>
      <c r="O216" t="s">
        <v>32</v>
      </c>
      <c r="P216" t="s">
        <v>38</v>
      </c>
    </row>
    <row r="217" spans="1:16" x14ac:dyDescent="0.2">
      <c r="A217" t="s">
        <v>8</v>
      </c>
      <c r="B217">
        <v>3</v>
      </c>
      <c r="C217" t="s">
        <v>39</v>
      </c>
      <c r="D217">
        <v>1</v>
      </c>
      <c r="E217">
        <v>100.6</v>
      </c>
      <c r="F217">
        <v>9.11</v>
      </c>
      <c r="G217">
        <v>311.74</v>
      </c>
      <c r="H217">
        <v>6.03</v>
      </c>
      <c r="I217">
        <v>350</v>
      </c>
      <c r="J217">
        <f t="shared" si="27"/>
        <v>6.3370606361829029</v>
      </c>
      <c r="K217">
        <f t="shared" si="26"/>
        <v>12.674121272365806</v>
      </c>
      <c r="L217">
        <f t="shared" si="28"/>
        <v>3.0988071570576543</v>
      </c>
      <c r="M217">
        <f>IF(L217&lt;=3,2,IF(AND(L217&gt;=3,L217&lt;=4),3,4))</f>
        <v>3</v>
      </c>
      <c r="N217" s="1" t="s">
        <v>40</v>
      </c>
      <c r="O217" t="s">
        <v>32</v>
      </c>
      <c r="P217" t="s">
        <v>38</v>
      </c>
    </row>
    <row r="218" spans="1:16" x14ac:dyDescent="0.2">
      <c r="A218" t="s">
        <v>8</v>
      </c>
      <c r="B218">
        <v>3</v>
      </c>
      <c r="C218" t="s">
        <v>39</v>
      </c>
      <c r="D218">
        <v>1</v>
      </c>
      <c r="E218">
        <v>100.35</v>
      </c>
      <c r="F218">
        <v>9.68</v>
      </c>
      <c r="G218">
        <v>312.61</v>
      </c>
      <c r="H218">
        <v>6.11</v>
      </c>
      <c r="I218">
        <v>350</v>
      </c>
      <c r="J218">
        <f t="shared" si="27"/>
        <v>6.3705774788241163</v>
      </c>
      <c r="K218">
        <f t="shared" si="26"/>
        <v>12.741154957648233</v>
      </c>
      <c r="L218">
        <f t="shared" si="28"/>
        <v>3.1151968111609372</v>
      </c>
      <c r="M218">
        <f t="shared" si="23"/>
        <v>3</v>
      </c>
      <c r="N218" s="1" t="s">
        <v>40</v>
      </c>
      <c r="O218" t="s">
        <v>26</v>
      </c>
      <c r="P218" t="s">
        <v>38</v>
      </c>
    </row>
    <row r="219" spans="1:16" x14ac:dyDescent="0.2">
      <c r="A219" t="s">
        <v>9</v>
      </c>
      <c r="B219">
        <v>1</v>
      </c>
      <c r="C219" t="s">
        <v>39</v>
      </c>
      <c r="D219">
        <v>1</v>
      </c>
      <c r="E219">
        <v>104.02</v>
      </c>
      <c r="F219">
        <v>8.5399999999999991</v>
      </c>
      <c r="G219">
        <v>294.8</v>
      </c>
      <c r="H219">
        <v>6.39</v>
      </c>
      <c r="I219">
        <v>350</v>
      </c>
      <c r="J219">
        <f t="shared" si="27"/>
        <v>5.7956739088636802</v>
      </c>
      <c r="K219">
        <f t="shared" si="26"/>
        <v>11.59134781772736</v>
      </c>
      <c r="L219">
        <f t="shared" si="28"/>
        <v>2.8340703710824844</v>
      </c>
      <c r="M219">
        <f t="shared" si="23"/>
        <v>2</v>
      </c>
      <c r="N219" s="1" t="s">
        <v>40</v>
      </c>
      <c r="O219" t="s">
        <v>26</v>
      </c>
      <c r="P219" t="s">
        <v>38</v>
      </c>
    </row>
    <row r="220" spans="1:16" x14ac:dyDescent="0.2">
      <c r="A220" t="s">
        <v>9</v>
      </c>
      <c r="B220">
        <v>1</v>
      </c>
      <c r="C220" t="s">
        <v>39</v>
      </c>
      <c r="D220">
        <v>1</v>
      </c>
      <c r="E220">
        <v>102.54</v>
      </c>
      <c r="F220">
        <v>7.07</v>
      </c>
      <c r="G220">
        <v>294.44</v>
      </c>
      <c r="H220">
        <v>7.07</v>
      </c>
      <c r="I220">
        <v>350</v>
      </c>
      <c r="J220">
        <f t="shared" si="27"/>
        <v>5.8721455041934849</v>
      </c>
      <c r="K220">
        <f t="shared" si="26"/>
        <v>11.74429100838697</v>
      </c>
      <c r="L220">
        <f t="shared" si="28"/>
        <v>2.8714647942266431</v>
      </c>
      <c r="M220">
        <f t="shared" si="23"/>
        <v>2</v>
      </c>
      <c r="N220" s="1" t="s">
        <v>40</v>
      </c>
      <c r="O220" t="s">
        <v>32</v>
      </c>
      <c r="P220" t="s">
        <v>38</v>
      </c>
    </row>
    <row r="221" spans="1:16" x14ac:dyDescent="0.2">
      <c r="A221" t="s">
        <v>9</v>
      </c>
      <c r="B221">
        <v>2</v>
      </c>
      <c r="C221" t="s">
        <v>39</v>
      </c>
      <c r="D221">
        <v>1</v>
      </c>
      <c r="E221">
        <v>102.29</v>
      </c>
      <c r="F221">
        <v>10.94</v>
      </c>
      <c r="G221">
        <v>291.27999999999997</v>
      </c>
      <c r="H221">
        <v>7.64</v>
      </c>
      <c r="I221">
        <v>350</v>
      </c>
      <c r="J221">
        <f t="shared" si="27"/>
        <v>5.8233219278521844</v>
      </c>
      <c r="K221">
        <f t="shared" si="26"/>
        <v>11.646643855704369</v>
      </c>
      <c r="L221">
        <f t="shared" si="28"/>
        <v>2.8475901847687943</v>
      </c>
      <c r="M221">
        <f t="shared" si="23"/>
        <v>2</v>
      </c>
      <c r="N221" s="1" t="s">
        <v>40</v>
      </c>
      <c r="O221" t="s">
        <v>32</v>
      </c>
      <c r="P221" t="s">
        <v>38</v>
      </c>
    </row>
    <row r="222" spans="1:16" x14ac:dyDescent="0.2">
      <c r="A222" t="s">
        <v>9</v>
      </c>
      <c r="B222">
        <v>2</v>
      </c>
      <c r="C222" t="s">
        <v>39</v>
      </c>
      <c r="D222">
        <v>1</v>
      </c>
      <c r="E222">
        <v>103.54</v>
      </c>
      <c r="F222">
        <v>10.050000000000001</v>
      </c>
      <c r="G222">
        <v>292.08999999999997</v>
      </c>
      <c r="H222">
        <v>7.17</v>
      </c>
      <c r="I222">
        <v>350</v>
      </c>
      <c r="J222">
        <f t="shared" si="27"/>
        <v>5.7690172880046342</v>
      </c>
      <c r="K222">
        <f t="shared" si="26"/>
        <v>11.538034576009268</v>
      </c>
      <c r="L222">
        <f t="shared" si="28"/>
        <v>2.821035348657523</v>
      </c>
      <c r="M222">
        <f t="shared" si="23"/>
        <v>2</v>
      </c>
      <c r="N222" s="1" t="s">
        <v>40</v>
      </c>
      <c r="O222" t="s">
        <v>26</v>
      </c>
      <c r="P222" t="s">
        <v>38</v>
      </c>
    </row>
    <row r="223" spans="1:16" x14ac:dyDescent="0.2">
      <c r="A223" t="s">
        <v>9</v>
      </c>
      <c r="B223">
        <v>3</v>
      </c>
      <c r="C223" t="s">
        <v>39</v>
      </c>
      <c r="D223">
        <v>1</v>
      </c>
      <c r="E223">
        <v>104.64</v>
      </c>
      <c r="F223">
        <v>6.08</v>
      </c>
      <c r="G223">
        <v>298.48</v>
      </c>
      <c r="H223">
        <v>6.08</v>
      </c>
      <c r="I223">
        <v>350</v>
      </c>
      <c r="J223">
        <f t="shared" si="27"/>
        <v>5.833253058103975</v>
      </c>
      <c r="K223">
        <f t="shared" si="26"/>
        <v>11.66650611620795</v>
      </c>
      <c r="L223">
        <f t="shared" si="28"/>
        <v>2.8524464831804281</v>
      </c>
      <c r="M223">
        <f t="shared" si="23"/>
        <v>2</v>
      </c>
      <c r="N223" s="1" t="s">
        <v>40</v>
      </c>
      <c r="O223" t="s">
        <v>26</v>
      </c>
      <c r="P223" t="s">
        <v>38</v>
      </c>
    </row>
    <row r="224" spans="1:16" x14ac:dyDescent="0.2">
      <c r="A224" t="s">
        <v>9</v>
      </c>
      <c r="B224">
        <v>3</v>
      </c>
      <c r="C224" t="s">
        <v>39</v>
      </c>
      <c r="D224">
        <v>1</v>
      </c>
      <c r="E224">
        <v>104.44</v>
      </c>
      <c r="F224">
        <v>10.57</v>
      </c>
      <c r="G224">
        <v>300.44</v>
      </c>
      <c r="H224">
        <v>5.75</v>
      </c>
      <c r="I224">
        <v>350</v>
      </c>
      <c r="J224">
        <f t="shared" si="27"/>
        <v>5.8828016085790882</v>
      </c>
      <c r="K224">
        <f t="shared" si="26"/>
        <v>11.765603217158176</v>
      </c>
      <c r="L224">
        <f t="shared" si="28"/>
        <v>2.8766756032171581</v>
      </c>
      <c r="M224">
        <f t="shared" si="23"/>
        <v>2</v>
      </c>
      <c r="N224" s="1" t="s">
        <v>40</v>
      </c>
      <c r="O224" t="s">
        <v>32</v>
      </c>
      <c r="P224" t="s">
        <v>38</v>
      </c>
    </row>
    <row r="225" spans="1:16" x14ac:dyDescent="0.2">
      <c r="A225" t="s">
        <v>10</v>
      </c>
      <c r="B225">
        <v>1</v>
      </c>
      <c r="C225" t="s">
        <v>39</v>
      </c>
      <c r="D225">
        <v>1</v>
      </c>
      <c r="E225">
        <v>117.66</v>
      </c>
      <c r="F225">
        <v>11.87</v>
      </c>
      <c r="G225">
        <v>321.91000000000003</v>
      </c>
      <c r="H225">
        <v>7.53</v>
      </c>
      <c r="I225">
        <v>360</v>
      </c>
      <c r="J225">
        <f t="shared" si="27"/>
        <v>5.5949851266360699</v>
      </c>
      <c r="K225">
        <f t="shared" si="26"/>
        <v>11.18997025327214</v>
      </c>
      <c r="L225">
        <f t="shared" si="28"/>
        <v>2.7359340472548022</v>
      </c>
      <c r="M225">
        <f t="shared" si="23"/>
        <v>2</v>
      </c>
      <c r="N225" s="1" t="s">
        <v>40</v>
      </c>
      <c r="O225" t="s">
        <v>32</v>
      </c>
      <c r="P225" t="s">
        <v>38</v>
      </c>
    </row>
    <row r="226" spans="1:16" x14ac:dyDescent="0.2">
      <c r="A226" t="s">
        <v>10</v>
      </c>
      <c r="B226">
        <v>1</v>
      </c>
      <c r="C226" t="s">
        <v>39</v>
      </c>
      <c r="D226">
        <v>1</v>
      </c>
      <c r="E226">
        <v>118.34</v>
      </c>
      <c r="F226">
        <v>11.3</v>
      </c>
      <c r="G226">
        <v>322.99</v>
      </c>
      <c r="H226">
        <v>7.42</v>
      </c>
      <c r="I226">
        <v>360</v>
      </c>
      <c r="J226">
        <f t="shared" si="27"/>
        <v>5.5814986479634952</v>
      </c>
      <c r="K226">
        <f t="shared" si="26"/>
        <v>11.16299729592699</v>
      </c>
      <c r="L226">
        <f t="shared" si="28"/>
        <v>2.7293391921581884</v>
      </c>
      <c r="M226">
        <f t="shared" si="23"/>
        <v>2</v>
      </c>
      <c r="N226" s="1" t="s">
        <v>40</v>
      </c>
      <c r="O226" t="s">
        <v>26</v>
      </c>
      <c r="P226" t="s">
        <v>38</v>
      </c>
    </row>
    <row r="227" spans="1:16" x14ac:dyDescent="0.2">
      <c r="A227" t="s">
        <v>10</v>
      </c>
      <c r="B227">
        <v>2</v>
      </c>
      <c r="C227" t="s">
        <v>39</v>
      </c>
      <c r="D227">
        <v>1</v>
      </c>
      <c r="E227">
        <v>120.19</v>
      </c>
      <c r="F227">
        <v>10.37</v>
      </c>
      <c r="G227">
        <v>319.94</v>
      </c>
      <c r="H227">
        <v>6.43</v>
      </c>
      <c r="I227">
        <v>360</v>
      </c>
      <c r="J227">
        <f t="shared" si="27"/>
        <v>5.4436916548797738</v>
      </c>
      <c r="K227">
        <f t="shared" si="26"/>
        <v>10.887383309759548</v>
      </c>
      <c r="L227">
        <f t="shared" si="28"/>
        <v>2.6619519094766622</v>
      </c>
      <c r="M227">
        <f t="shared" si="23"/>
        <v>2</v>
      </c>
      <c r="N227" s="1" t="s">
        <v>40</v>
      </c>
      <c r="O227" t="s">
        <v>26</v>
      </c>
      <c r="P227" t="s">
        <v>38</v>
      </c>
    </row>
    <row r="228" spans="1:16" x14ac:dyDescent="0.2">
      <c r="A228" t="s">
        <v>10</v>
      </c>
      <c r="B228">
        <v>2</v>
      </c>
      <c r="C228" t="s">
        <v>39</v>
      </c>
      <c r="D228">
        <v>1</v>
      </c>
      <c r="E228">
        <v>118.74</v>
      </c>
      <c r="F228">
        <v>10.95</v>
      </c>
      <c r="G228">
        <v>318.89999999999998</v>
      </c>
      <c r="H228">
        <v>7.85</v>
      </c>
      <c r="I228">
        <v>360</v>
      </c>
      <c r="J228">
        <f t="shared" si="27"/>
        <v>5.4922561899949462</v>
      </c>
      <c r="K228">
        <f t="shared" si="26"/>
        <v>10.984512379989892</v>
      </c>
      <c r="L228">
        <f t="shared" si="28"/>
        <v>2.6856998484082868</v>
      </c>
      <c r="M228">
        <f t="shared" si="23"/>
        <v>2</v>
      </c>
      <c r="N228" s="1" t="s">
        <v>40</v>
      </c>
      <c r="O228" t="s">
        <v>32</v>
      </c>
      <c r="P228" t="s">
        <v>38</v>
      </c>
    </row>
    <row r="229" spans="1:16" x14ac:dyDescent="0.2">
      <c r="A229" t="s">
        <v>10</v>
      </c>
      <c r="B229">
        <v>3</v>
      </c>
      <c r="C229" t="s">
        <v>39</v>
      </c>
      <c r="D229">
        <v>1</v>
      </c>
      <c r="E229">
        <v>116.64</v>
      </c>
      <c r="F229">
        <v>12.37</v>
      </c>
      <c r="G229">
        <v>324.22000000000003</v>
      </c>
      <c r="H229">
        <v>5.27</v>
      </c>
      <c r="I229">
        <v>360</v>
      </c>
      <c r="J229">
        <f t="shared" si="27"/>
        <v>5.6844127229080934</v>
      </c>
      <c r="K229">
        <f t="shared" si="26"/>
        <v>11.368825445816187</v>
      </c>
      <c r="L229">
        <f t="shared" si="28"/>
        <v>2.7796639231824418</v>
      </c>
      <c r="M229">
        <f t="shared" si="23"/>
        <v>2</v>
      </c>
      <c r="N229" s="1" t="s">
        <v>40</v>
      </c>
      <c r="O229" t="s">
        <v>32</v>
      </c>
      <c r="P229" t="s">
        <v>38</v>
      </c>
    </row>
    <row r="230" spans="1:16" x14ac:dyDescent="0.2">
      <c r="A230" t="s">
        <v>10</v>
      </c>
      <c r="B230">
        <v>3</v>
      </c>
      <c r="C230" t="s">
        <v>39</v>
      </c>
      <c r="D230">
        <v>1</v>
      </c>
      <c r="E230">
        <v>115.81</v>
      </c>
      <c r="F230">
        <v>13.57</v>
      </c>
      <c r="G230">
        <v>319.08999999999997</v>
      </c>
      <c r="H230">
        <v>8.66</v>
      </c>
      <c r="I230">
        <v>360</v>
      </c>
      <c r="J230">
        <f t="shared" si="27"/>
        <v>5.634565667904325</v>
      </c>
      <c r="K230">
        <f t="shared" si="26"/>
        <v>11.26913133580865</v>
      </c>
      <c r="L230">
        <f t="shared" si="28"/>
        <v>2.7552888351610392</v>
      </c>
      <c r="M230">
        <f t="shared" si="23"/>
        <v>2</v>
      </c>
      <c r="N230" s="1" t="s">
        <v>40</v>
      </c>
      <c r="O230" t="s">
        <v>26</v>
      </c>
      <c r="P230" t="s">
        <v>38</v>
      </c>
    </row>
    <row r="231" spans="1:16" x14ac:dyDescent="0.2">
      <c r="A231" t="s">
        <v>29</v>
      </c>
      <c r="B231">
        <v>1</v>
      </c>
      <c r="C231" t="s">
        <v>39</v>
      </c>
      <c r="D231">
        <v>1</v>
      </c>
      <c r="E231">
        <v>110.12</v>
      </c>
      <c r="F231">
        <v>12.03</v>
      </c>
      <c r="G231">
        <v>349.84</v>
      </c>
      <c r="H231">
        <v>7.59</v>
      </c>
      <c r="I231">
        <v>355</v>
      </c>
      <c r="J231">
        <f t="shared" si="27"/>
        <v>6.4967562658917535</v>
      </c>
      <c r="K231">
        <f t="shared" si="26"/>
        <v>12.993512531783507</v>
      </c>
      <c r="L231">
        <f t="shared" si="28"/>
        <v>3.1768979295314197</v>
      </c>
      <c r="M231">
        <f t="shared" si="23"/>
        <v>3</v>
      </c>
      <c r="N231" s="1" t="s">
        <v>40</v>
      </c>
      <c r="O231" t="s">
        <v>26</v>
      </c>
      <c r="P231" t="s">
        <v>38</v>
      </c>
    </row>
    <row r="232" spans="1:16" x14ac:dyDescent="0.2">
      <c r="A232" t="s">
        <v>29</v>
      </c>
      <c r="B232">
        <v>1</v>
      </c>
      <c r="C232" t="s">
        <v>39</v>
      </c>
      <c r="D232">
        <v>1</v>
      </c>
      <c r="E232">
        <v>111.08</v>
      </c>
      <c r="F232">
        <v>10.050000000000001</v>
      </c>
      <c r="G232">
        <v>352.63</v>
      </c>
      <c r="H232">
        <v>7.48</v>
      </c>
      <c r="I232">
        <v>355</v>
      </c>
      <c r="J232">
        <f t="shared" si="27"/>
        <v>6.4919729024126758</v>
      </c>
      <c r="K232">
        <f t="shared" si="26"/>
        <v>12.983945804825352</v>
      </c>
      <c r="L232">
        <f t="shared" si="28"/>
        <v>3.174558876485416</v>
      </c>
      <c r="M232">
        <f t="shared" si="23"/>
        <v>3</v>
      </c>
      <c r="N232" s="1" t="s">
        <v>40</v>
      </c>
      <c r="O232" t="s">
        <v>32</v>
      </c>
      <c r="P232" t="s">
        <v>38</v>
      </c>
    </row>
    <row r="233" spans="1:16" x14ac:dyDescent="0.2">
      <c r="A233" t="s">
        <v>29</v>
      </c>
      <c r="B233">
        <v>2</v>
      </c>
      <c r="C233" t="s">
        <v>39</v>
      </c>
      <c r="D233">
        <v>1</v>
      </c>
      <c r="E233">
        <v>126.93</v>
      </c>
      <c r="F233">
        <v>8.82</v>
      </c>
      <c r="G233">
        <v>396.55</v>
      </c>
      <c r="H233">
        <v>5.57</v>
      </c>
      <c r="I233">
        <v>360</v>
      </c>
      <c r="J233">
        <f t="shared" si="27"/>
        <v>6.3889131804931845</v>
      </c>
      <c r="K233">
        <f t="shared" si="26"/>
        <v>12.777826360986369</v>
      </c>
      <c r="L233">
        <f t="shared" si="28"/>
        <v>3.1241629244465452</v>
      </c>
      <c r="M233">
        <f t="shared" si="23"/>
        <v>3</v>
      </c>
      <c r="N233" s="1" t="s">
        <v>40</v>
      </c>
      <c r="O233" t="s">
        <v>32</v>
      </c>
      <c r="P233" t="s">
        <v>38</v>
      </c>
    </row>
    <row r="234" spans="1:16" x14ac:dyDescent="0.2">
      <c r="A234" t="s">
        <v>29</v>
      </c>
      <c r="B234">
        <v>2</v>
      </c>
      <c r="C234" t="s">
        <v>39</v>
      </c>
      <c r="D234">
        <v>1</v>
      </c>
      <c r="E234">
        <v>127.81</v>
      </c>
      <c r="F234">
        <v>7.29</v>
      </c>
      <c r="G234">
        <v>396.16</v>
      </c>
      <c r="H234">
        <v>5.75</v>
      </c>
      <c r="I234">
        <v>360</v>
      </c>
      <c r="J234">
        <f t="shared" si="27"/>
        <v>6.3386839840388074</v>
      </c>
      <c r="K234">
        <f t="shared" si="26"/>
        <v>12.677367968077615</v>
      </c>
      <c r="L234">
        <f t="shared" si="28"/>
        <v>3.0996009701901261</v>
      </c>
      <c r="M234">
        <f t="shared" si="23"/>
        <v>3</v>
      </c>
      <c r="N234" s="1" t="s">
        <v>40</v>
      </c>
      <c r="O234" t="s">
        <v>26</v>
      </c>
      <c r="P234" t="s">
        <v>38</v>
      </c>
    </row>
    <row r="235" spans="1:16" x14ac:dyDescent="0.2">
      <c r="A235" t="s">
        <v>29</v>
      </c>
      <c r="B235">
        <v>3</v>
      </c>
      <c r="C235" t="s">
        <v>39</v>
      </c>
      <c r="D235">
        <v>1</v>
      </c>
      <c r="E235">
        <v>126.64</v>
      </c>
      <c r="F235">
        <v>9.3000000000000007</v>
      </c>
      <c r="G235">
        <v>386.72</v>
      </c>
      <c r="H235">
        <v>6.68</v>
      </c>
      <c r="I235">
        <v>360</v>
      </c>
      <c r="J235">
        <f t="shared" si="27"/>
        <v>6.2448073278584966</v>
      </c>
      <c r="K235">
        <f t="shared" si="26"/>
        <v>12.489614655716993</v>
      </c>
      <c r="L235">
        <f t="shared" si="28"/>
        <v>3.0536955148452307</v>
      </c>
      <c r="M235">
        <f t="shared" si="23"/>
        <v>3</v>
      </c>
      <c r="N235" s="1" t="s">
        <v>40</v>
      </c>
      <c r="O235" t="s">
        <v>26</v>
      </c>
      <c r="P235" t="s">
        <v>38</v>
      </c>
    </row>
    <row r="236" spans="1:16" x14ac:dyDescent="0.2">
      <c r="N236" s="1"/>
    </row>
  </sheetData>
  <conditionalFormatting sqref="A2:A236">
    <cfRule type="containsText" dxfId="0" priority="1" operator="containsText" text="_p">
      <formula>NOT(ISERROR(SEARCH("_p",A2)))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</dc:creator>
  <cp:lastModifiedBy>Grossfurthner, Lukas (gros3875@vandals.uidaho.edu)</cp:lastModifiedBy>
  <dcterms:created xsi:type="dcterms:W3CDTF">2011-04-11T16:55:37Z</dcterms:created>
  <dcterms:modified xsi:type="dcterms:W3CDTF">2023-11-03T06:33:54Z</dcterms:modified>
</cp:coreProperties>
</file>